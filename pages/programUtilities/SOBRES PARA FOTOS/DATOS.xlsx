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PC Soporte\Downloads\cartas de maestria\"/>
    </mc:Choice>
  </mc:AlternateContent>
  <xr:revisionPtr revIDLastSave="0" documentId="13_ncr:1_{CA4B4E21-CA53-47A5-A4B1-BF6048EA365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1" r:id="rId1"/>
    <sheet name="PEGAR DATOS AQUI" sheetId="3" r:id="rId2"/>
    <sheet name="Hoja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4" l="1"/>
  <c r="M3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2" i="4"/>
  <c r="D20" i="1"/>
  <c r="E20" i="1" s="1"/>
  <c r="E115" i="1"/>
  <c r="E118" i="1"/>
  <c r="E121" i="1"/>
  <c r="E124" i="1"/>
  <c r="E127" i="1"/>
  <c r="E130" i="1"/>
  <c r="E133" i="1"/>
  <c r="E136" i="1"/>
  <c r="E139" i="1"/>
  <c r="E142" i="1"/>
  <c r="E145" i="1"/>
  <c r="D3" i="1"/>
  <c r="E3" i="1" s="1"/>
  <c r="D4" i="1"/>
  <c r="E4" i="1" s="1"/>
  <c r="D5" i="1"/>
  <c r="E5" i="1" s="1"/>
  <c r="D6" i="1"/>
  <c r="E6" i="1" s="1"/>
  <c r="D7" i="1"/>
  <c r="D8" i="1"/>
  <c r="E8" i="1" s="1"/>
  <c r="D9" i="1"/>
  <c r="E9" i="1" s="1"/>
  <c r="D10" i="1"/>
  <c r="E10" i="1" s="1"/>
  <c r="D11" i="1"/>
  <c r="E11" i="1" s="1"/>
  <c r="D12" i="1"/>
  <c r="A2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D21" i="1"/>
  <c r="E21" i="1" s="1"/>
  <c r="D22" i="1"/>
  <c r="E22" i="1" s="1"/>
  <c r="D23" i="1"/>
  <c r="A44" i="1" s="1"/>
  <c r="D24" i="1"/>
  <c r="E24" i="1" s="1"/>
  <c r="D25" i="1"/>
  <c r="D26" i="1"/>
  <c r="D27" i="1"/>
  <c r="E27" i="1" s="1"/>
  <c r="D28" i="1"/>
  <c r="E28" i="1" s="1"/>
  <c r="D29" i="1"/>
  <c r="E29" i="1" s="1"/>
  <c r="D30" i="1"/>
  <c r="E30" i="1" s="1"/>
  <c r="D31" i="1"/>
  <c r="E31" i="1" s="1"/>
  <c r="D32" i="1"/>
  <c r="D33" i="1"/>
  <c r="A64" i="1" s="1"/>
  <c r="D34" i="1"/>
  <c r="E34" i="1" s="1"/>
  <c r="A67" i="1" s="1"/>
  <c r="D35" i="1"/>
  <c r="E35" i="1" s="1"/>
  <c r="D36" i="1"/>
  <c r="E36" i="1" s="1"/>
  <c r="D37" i="1"/>
  <c r="E37" i="1" s="1"/>
  <c r="A73" i="1" s="1"/>
  <c r="D38" i="1"/>
  <c r="E38" i="1" s="1"/>
  <c r="A75" i="1" s="1"/>
  <c r="D39" i="1"/>
  <c r="E39" i="1" s="1"/>
  <c r="A77" i="1" s="1"/>
  <c r="D40" i="1"/>
  <c r="E40" i="1" s="1"/>
  <c r="D41" i="1"/>
  <c r="E41" i="1" s="1"/>
  <c r="D42" i="1"/>
  <c r="A82" i="1" s="1"/>
  <c r="D43" i="1"/>
  <c r="E43" i="1" s="1"/>
  <c r="D44" i="1"/>
  <c r="E44" i="1" s="1"/>
  <c r="A87" i="1" s="1"/>
  <c r="D45" i="1"/>
  <c r="E45" i="1" s="1"/>
  <c r="A89" i="1" s="1"/>
  <c r="D46" i="1"/>
  <c r="E46" i="1" s="1"/>
  <c r="A91" i="1" s="1"/>
  <c r="D47" i="1"/>
  <c r="A92" i="1" s="1"/>
  <c r="D48" i="1"/>
  <c r="A94" i="1" s="1"/>
  <c r="D49" i="1"/>
  <c r="E49" i="1" s="1"/>
  <c r="A97" i="1" s="1"/>
  <c r="D50" i="1"/>
  <c r="E50" i="1" s="1"/>
  <c r="A99" i="1" s="1"/>
  <c r="D51" i="1"/>
  <c r="E51" i="1" s="1"/>
  <c r="A101" i="1" s="1"/>
  <c r="D52" i="1"/>
  <c r="E52" i="1" s="1"/>
  <c r="A103" i="1" s="1"/>
  <c r="D53" i="1"/>
  <c r="E53" i="1" s="1"/>
  <c r="A105" i="1" s="1"/>
  <c r="D54" i="1"/>
  <c r="E54" i="1" s="1"/>
  <c r="A107" i="1" s="1"/>
  <c r="D55" i="1"/>
  <c r="E55" i="1" s="1"/>
  <c r="D56" i="1"/>
  <c r="E56" i="1" s="1"/>
  <c r="D57" i="1"/>
  <c r="E57" i="1" s="1"/>
  <c r="A113" i="1" s="1"/>
  <c r="D58" i="1"/>
  <c r="E58" i="1" s="1"/>
  <c r="A115" i="1" s="1"/>
  <c r="D59" i="1"/>
  <c r="A116" i="1" s="1"/>
  <c r="D60" i="1"/>
  <c r="A118" i="1" s="1"/>
  <c r="D61" i="1"/>
  <c r="E61" i="1" s="1"/>
  <c r="A121" i="1" s="1"/>
  <c r="D62" i="1"/>
  <c r="E62" i="1" s="1"/>
  <c r="A123" i="1" s="1"/>
  <c r="D63" i="1"/>
  <c r="E63" i="1" s="1"/>
  <c r="D64" i="1"/>
  <c r="E64" i="1" s="1"/>
  <c r="A127" i="1" s="1"/>
  <c r="D65" i="1"/>
  <c r="E65" i="1" s="1"/>
  <c r="A129" i="1" s="1"/>
  <c r="D66" i="1"/>
  <c r="E66" i="1" s="1"/>
  <c r="A131" i="1" s="1"/>
  <c r="D67" i="1"/>
  <c r="E67" i="1" s="1"/>
  <c r="D68" i="1"/>
  <c r="E68" i="1" s="1"/>
  <c r="A135" i="1" s="1"/>
  <c r="D69" i="1"/>
  <c r="E69" i="1" s="1"/>
  <c r="A137" i="1" s="1"/>
  <c r="D70" i="1"/>
  <c r="E70" i="1" s="1"/>
  <c r="A139" i="1" s="1"/>
  <c r="D71" i="1"/>
  <c r="E71" i="1" s="1"/>
  <c r="A141" i="1" s="1"/>
  <c r="D72" i="1"/>
  <c r="A142" i="1" s="1"/>
  <c r="D73" i="1"/>
  <c r="E73" i="1" s="1"/>
  <c r="A145" i="1" s="1"/>
  <c r="D74" i="1"/>
  <c r="E74" i="1" s="1"/>
  <c r="A147" i="1" s="1"/>
  <c r="D75" i="1"/>
  <c r="E75" i="1" s="1"/>
  <c r="A149" i="1" s="1"/>
  <c r="D76" i="1"/>
  <c r="E76" i="1" s="1"/>
  <c r="A151" i="1" s="1"/>
  <c r="D77" i="1"/>
  <c r="D78" i="1"/>
  <c r="E78" i="1" s="1"/>
  <c r="A155" i="1" s="1"/>
  <c r="D79" i="1"/>
  <c r="E79" i="1" s="1"/>
  <c r="D80" i="1"/>
  <c r="E80" i="1" s="1"/>
  <c r="A159" i="1" s="1"/>
  <c r="D81" i="1"/>
  <c r="E81" i="1" s="1"/>
  <c r="A16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D116" i="1"/>
  <c r="E116" i="1" s="1"/>
  <c r="D117" i="1"/>
  <c r="E117" i="1" s="1"/>
  <c r="D118" i="1"/>
  <c r="D119" i="1"/>
  <c r="E119" i="1" s="1"/>
  <c r="D120" i="1"/>
  <c r="E120" i="1" s="1"/>
  <c r="D121" i="1"/>
  <c r="D122" i="1"/>
  <c r="E122" i="1" s="1"/>
  <c r="D123" i="1"/>
  <c r="E123" i="1" s="1"/>
  <c r="D124" i="1"/>
  <c r="D125" i="1"/>
  <c r="E125" i="1" s="1"/>
  <c r="D126" i="1"/>
  <c r="E126" i="1" s="1"/>
  <c r="D127" i="1"/>
  <c r="D128" i="1"/>
  <c r="E128" i="1" s="1"/>
  <c r="D129" i="1"/>
  <c r="E129" i="1" s="1"/>
  <c r="D130" i="1"/>
  <c r="D131" i="1"/>
  <c r="E131" i="1" s="1"/>
  <c r="D132" i="1"/>
  <c r="E132" i="1" s="1"/>
  <c r="D133" i="1"/>
  <c r="D134" i="1"/>
  <c r="E134" i="1" s="1"/>
  <c r="D135" i="1"/>
  <c r="E135" i="1" s="1"/>
  <c r="D136" i="1"/>
  <c r="D137" i="1"/>
  <c r="E137" i="1" s="1"/>
  <c r="D138" i="1"/>
  <c r="E138" i="1" s="1"/>
  <c r="D139" i="1"/>
  <c r="D140" i="1"/>
  <c r="E140" i="1" s="1"/>
  <c r="D141" i="1"/>
  <c r="E141" i="1" s="1"/>
  <c r="D142" i="1"/>
  <c r="D143" i="1"/>
  <c r="E143" i="1" s="1"/>
  <c r="D144" i="1"/>
  <c r="E144" i="1" s="1"/>
  <c r="D145" i="1"/>
  <c r="D2" i="1"/>
  <c r="E2" i="1" s="1"/>
  <c r="A3" i="1" s="1"/>
  <c r="A104" i="1"/>
  <c r="A106" i="1"/>
  <c r="A132" i="1"/>
  <c r="A90" i="1"/>
  <c r="A98" i="1"/>
  <c r="A102" i="1"/>
  <c r="A110" i="1"/>
  <c r="A114" i="1"/>
  <c r="A122" i="1"/>
  <c r="A128" i="1"/>
  <c r="A130" i="1"/>
  <c r="A138" i="1"/>
  <c r="A140" i="1"/>
  <c r="A38" i="1"/>
  <c r="A78" i="1"/>
  <c r="A80" i="1"/>
  <c r="A26" i="1" l="1"/>
  <c r="A124" i="1"/>
  <c r="A100" i="1"/>
  <c r="E60" i="1"/>
  <c r="E48" i="1"/>
  <c r="A95" i="1" s="1"/>
  <c r="E77" i="1"/>
  <c r="A153" i="1" s="1"/>
  <c r="E59" i="1"/>
  <c r="E47" i="1"/>
  <c r="A93" i="1" s="1"/>
  <c r="E72" i="1"/>
  <c r="E42" i="1"/>
  <c r="A40" i="1"/>
  <c r="A88" i="1"/>
  <c r="A136" i="1"/>
  <c r="A112" i="1"/>
  <c r="A86" i="1"/>
  <c r="A52" i="1"/>
  <c r="E33" i="1"/>
  <c r="A65" i="1" s="1"/>
  <c r="E32" i="1"/>
  <c r="A63" i="1" s="1"/>
  <c r="E12" i="1"/>
  <c r="A23" i="1" s="1"/>
  <c r="E23" i="1"/>
  <c r="A45" i="1" s="1"/>
  <c r="A9" i="1"/>
  <c r="E26" i="1"/>
  <c r="A51" i="1" s="1"/>
  <c r="A59" i="1"/>
  <c r="A31" i="1"/>
  <c r="A29" i="1"/>
  <c r="A17" i="1"/>
  <c r="A53" i="1"/>
  <c r="E25" i="1"/>
  <c r="A49" i="1" s="1"/>
  <c r="E19" i="1"/>
  <c r="A37" i="1" s="1"/>
  <c r="E7" i="1"/>
  <c r="A13" i="1" s="1"/>
  <c r="A42" i="1"/>
  <c r="A56" i="1"/>
  <c r="A54" i="1"/>
  <c r="A24" i="1"/>
  <c r="A10" i="1"/>
  <c r="A6" i="1"/>
  <c r="A4" i="1"/>
  <c r="A12" i="1"/>
  <c r="A16" i="1"/>
  <c r="A18" i="1"/>
  <c r="A34" i="1"/>
  <c r="A32" i="1"/>
  <c r="A14" i="1"/>
  <c r="A21" i="1"/>
  <c r="A71" i="1"/>
  <c r="A47" i="1"/>
  <c r="A68" i="1"/>
  <c r="A154" i="1"/>
  <c r="A152" i="1"/>
  <c r="A146" i="1"/>
  <c r="A57" i="1"/>
  <c r="A83" i="1"/>
  <c r="A143" i="1"/>
  <c r="A119" i="1"/>
  <c r="A117" i="1"/>
  <c r="A35" i="1"/>
  <c r="A36" i="1"/>
  <c r="A157" i="1"/>
  <c r="A109" i="1"/>
  <c r="A85" i="1"/>
  <c r="A61" i="1"/>
  <c r="A60" i="1"/>
  <c r="A11" i="1"/>
  <c r="A111" i="1"/>
  <c r="A125" i="1"/>
  <c r="A158" i="1"/>
  <c r="A133" i="1"/>
  <c r="A160" i="1"/>
  <c r="A126" i="1"/>
  <c r="A148" i="1"/>
  <c r="A7" i="1"/>
  <c r="A50" i="1"/>
  <c r="A156" i="1"/>
  <c r="A96" i="1"/>
  <c r="A108" i="1"/>
  <c r="A84" i="1"/>
  <c r="A120" i="1"/>
  <c r="A144" i="1"/>
  <c r="A134" i="1"/>
  <c r="A55" i="1"/>
  <c r="A150" i="1"/>
  <c r="A28" i="1"/>
  <c r="A8" i="1"/>
  <c r="A33" i="1"/>
  <c r="A30" i="1"/>
  <c r="A15" i="1"/>
  <c r="A69" i="1"/>
  <c r="A20" i="1"/>
  <c r="A46" i="1"/>
  <c r="A58" i="1"/>
  <c r="A70" i="1"/>
  <c r="A74" i="1"/>
  <c r="A81" i="1"/>
  <c r="A79" i="1"/>
  <c r="A76" i="1"/>
  <c r="A48" i="1"/>
  <c r="A72" i="1"/>
  <c r="A62" i="1"/>
  <c r="A43" i="1"/>
  <c r="A66" i="1"/>
  <c r="A19" i="1"/>
  <c r="A5" i="1"/>
  <c r="A27" i="1"/>
  <c r="A25" i="1"/>
  <c r="A2" i="1"/>
  <c r="A41" i="1"/>
  <c r="A39" i="1"/>
</calcChain>
</file>

<file path=xl/sharedStrings.xml><?xml version="1.0" encoding="utf-8"?>
<sst xmlns="http://schemas.openxmlformats.org/spreadsheetml/2006/main" count="230" uniqueCount="125">
  <si>
    <t>Nombre</t>
  </si>
  <si>
    <t>Nº</t>
  </si>
  <si>
    <t>Apellido Paterno</t>
  </si>
  <si>
    <t>Apellido Materno</t>
  </si>
  <si>
    <t>Nombres</t>
  </si>
  <si>
    <t>SUBTITULO:</t>
  </si>
  <si>
    <t>https://drive.google.com/file/d/1LHvR2olID1VPH4n06CJOO5ZYqXjmjCbY/view?usp=sharing</t>
  </si>
  <si>
    <t>APELLIDO 
MATERNO</t>
  </si>
  <si>
    <t>PRIMER 
NOMBRE</t>
  </si>
  <si>
    <t>SEGUNDO 
NOMBRE</t>
  </si>
  <si>
    <t>CI</t>
  </si>
  <si>
    <t>GRADO 
ACADEMICO</t>
  </si>
  <si>
    <t>MÓDULO 1</t>
  </si>
  <si>
    <t>MÓDULO 2</t>
  </si>
  <si>
    <t>MÓDULO 3</t>
  </si>
  <si>
    <t>MÓDULO 4</t>
  </si>
  <si>
    <t>AGUILAR</t>
  </si>
  <si>
    <t>TITULADO</t>
  </si>
  <si>
    <t>CHOQUE</t>
  </si>
  <si>
    <t>VELASQUEZ</t>
  </si>
  <si>
    <t>FLORES</t>
  </si>
  <si>
    <t>EGRESADO</t>
  </si>
  <si>
    <t>YUJRA</t>
  </si>
  <si>
    <t>QUISPE</t>
  </si>
  <si>
    <t>CESPEDES</t>
  </si>
  <si>
    <t>VILLARROEL</t>
  </si>
  <si>
    <t>DIPLOMADO:</t>
  </si>
  <si>
    <t>GUTIERREZ</t>
  </si>
  <si>
    <t>GOMEZ</t>
  </si>
  <si>
    <t>AYMA</t>
  </si>
  <si>
    <t>APAZA</t>
  </si>
  <si>
    <t>RODRIGUEZ</t>
  </si>
  <si>
    <t>AREBALO</t>
  </si>
  <si>
    <t>NINA</t>
  </si>
  <si>
    <t>AYLLON</t>
  </si>
  <si>
    <t>CAZON</t>
  </si>
  <si>
    <t>FERNANDO</t>
  </si>
  <si>
    <t>BERMUDEZ</t>
  </si>
  <si>
    <t>ENRIQUE</t>
  </si>
  <si>
    <t>CACHACA</t>
  </si>
  <si>
    <t>POMA</t>
  </si>
  <si>
    <t>CESAR</t>
  </si>
  <si>
    <t>HERBAS</t>
  </si>
  <si>
    <t>MONTAÑO</t>
  </si>
  <si>
    <t>RONAL</t>
  </si>
  <si>
    <t>HILAQUITA</t>
  </si>
  <si>
    <t>RUZENA</t>
  </si>
  <si>
    <t>HINOJOSA</t>
  </si>
  <si>
    <t>CAMACHO</t>
  </si>
  <si>
    <t>ALEXANDER</t>
  </si>
  <si>
    <t>HUAYTA</t>
  </si>
  <si>
    <t>RAMOS</t>
  </si>
  <si>
    <t>RICHARD</t>
  </si>
  <si>
    <t>LLANOS</t>
  </si>
  <si>
    <t>MACIAS</t>
  </si>
  <si>
    <t>PACHECO</t>
  </si>
  <si>
    <t>MAITA</t>
  </si>
  <si>
    <t>NICASIO</t>
  </si>
  <si>
    <t>5546751-1V</t>
  </si>
  <si>
    <t>MAMANI</t>
  </si>
  <si>
    <t>DERIK</t>
  </si>
  <si>
    <t>PAUCARA</t>
  </si>
  <si>
    <t>ISRAEL</t>
  </si>
  <si>
    <t>MARISCAL</t>
  </si>
  <si>
    <t>MELGAR</t>
  </si>
  <si>
    <t>APURI</t>
  </si>
  <si>
    <t>BLADIMIR</t>
  </si>
  <si>
    <t>MERCADO</t>
  </si>
  <si>
    <t>DARIO</t>
  </si>
  <si>
    <t>MONTERO</t>
  </si>
  <si>
    <t>MEDRANO</t>
  </si>
  <si>
    <t>PACAJA</t>
  </si>
  <si>
    <t>CRUZ</t>
  </si>
  <si>
    <t>CARLOS</t>
  </si>
  <si>
    <t>CONDORI</t>
  </si>
  <si>
    <t>MARTIN</t>
  </si>
  <si>
    <t>CHIRINOS</t>
  </si>
  <si>
    <t>ANGEL</t>
  </si>
  <si>
    <t>RIVAS</t>
  </si>
  <si>
    <t>BARRIENTOS</t>
  </si>
  <si>
    <t>ROLANDO</t>
  </si>
  <si>
    <t>URIBE</t>
  </si>
  <si>
    <t>PORTAL</t>
  </si>
  <si>
    <t>VANESSA</t>
  </si>
  <si>
    <t>VEIZAGA</t>
  </si>
  <si>
    <t>NICOLAS</t>
  </si>
  <si>
    <t>TAMARA</t>
  </si>
  <si>
    <t>ZERNA</t>
  </si>
  <si>
    <t>ZUÑIGA</t>
  </si>
  <si>
    <t>ANDRES</t>
  </si>
  <si>
    <t xml:space="preserve">EDWIN </t>
  </si>
  <si>
    <t xml:space="preserve">GONZALO </t>
  </si>
  <si>
    <t xml:space="preserve">EDGAR </t>
  </si>
  <si>
    <t xml:space="preserve">IVER </t>
  </si>
  <si>
    <t>LUIS FERNANDO</t>
  </si>
  <si>
    <t>OSCAR ENRIQUE</t>
  </si>
  <si>
    <t>JULIO CESAR</t>
  </si>
  <si>
    <t>RONALD CESAR</t>
  </si>
  <si>
    <t>JOEL RONAL</t>
  </si>
  <si>
    <t>LILIAN RUZENA</t>
  </si>
  <si>
    <t>KEVIN ALEXANDER</t>
  </si>
  <si>
    <t>SANTOS RICHARD</t>
  </si>
  <si>
    <t xml:space="preserve">UZIEL </t>
  </si>
  <si>
    <t xml:space="preserve">KEVIN </t>
  </si>
  <si>
    <t xml:space="preserve">ABDON </t>
  </si>
  <si>
    <t>EDSON DERIK</t>
  </si>
  <si>
    <t>HUGO ISRAEL</t>
  </si>
  <si>
    <t xml:space="preserve">JAIRZINHO </t>
  </si>
  <si>
    <t>IVAN BLADIMIR</t>
  </si>
  <si>
    <t>JUAN DARIO</t>
  </si>
  <si>
    <t xml:space="preserve">DAVID </t>
  </si>
  <si>
    <t>JUAN CARLOS</t>
  </si>
  <si>
    <t>GROBER MARTIN</t>
  </si>
  <si>
    <t>BRYAN ANGEL</t>
  </si>
  <si>
    <t>FABIAM ROLANDO</t>
  </si>
  <si>
    <t>NOEMI VANESSA</t>
  </si>
  <si>
    <t>FERNANDO NICOLAS</t>
  </si>
  <si>
    <t>LUZ TAMARA</t>
  </si>
  <si>
    <t xml:space="preserve">ARACELY </t>
  </si>
  <si>
    <t>JAIRO ANDRES</t>
  </si>
  <si>
    <t>.</t>
  </si>
  <si>
    <t>ETHICAL HACKING Y CIBERSEGURIDAD CON INTELIGENCIA ARTIFICIAL V7</t>
  </si>
  <si>
    <t>DAVID ANZOLEAGA MONTECINOS</t>
  </si>
  <si>
    <t>EBERTH CANAVIRI</t>
  </si>
  <si>
    <t xml:space="preserve">juanitopsf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</si>
</sst>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EEF1F1"/>
      <name val="Calibri"/>
      <family val="2"/>
    </font>
    <font>
      <sz val="9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C343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11" fillId="0" borderId="3" xfId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wrapText="1"/>
    </xf>
    <xf numFmtId="0" fontId="6" fillId="6" borderId="2" xfId="0" applyFont="1" applyFill="1" applyBorder="1" applyAlignment="1">
      <alignment wrapText="1"/>
    </xf>
    <xf numFmtId="0" fontId="6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wrapText="1"/>
    </xf>
    <xf numFmtId="0" fontId="2" fillId="3" borderId="9" xfId="0" applyFont="1" applyFill="1" applyBorder="1" applyAlignment="1">
      <alignment vertical="center" wrapText="1"/>
    </xf>
    <xf numFmtId="0" fontId="0" fillId="0" borderId="9" xfId="0" applyBorder="1"/>
    <xf numFmtId="0" fontId="6" fillId="6" borderId="3" xfId="0" applyFont="1" applyFill="1" applyBorder="1" applyAlignment="1">
      <alignment wrapText="1"/>
    </xf>
    <xf numFmtId="0" fontId="6" fillId="6" borderId="4" xfId="0" applyFont="1" applyFill="1" applyBorder="1" applyAlignment="1">
      <alignment wrapText="1"/>
    </xf>
    <xf numFmtId="0" fontId="8" fillId="6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 wrapText="1"/>
    </xf>
    <xf numFmtId="0" fontId="5" fillId="8" borderId="4" xfId="0" applyFont="1" applyFill="1" applyBorder="1" applyAlignment="1">
      <alignment wrapText="1"/>
    </xf>
    <xf numFmtId="0" fontId="5" fillId="8" borderId="2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rive.google.com/file/d/1LHvR2olID1VPH4n06CJOO5ZYqXjmjCbY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40.6640625" style="8" customWidth="1"/>
    <col min="4" max="4" width="19.88671875" bestFit="1" customWidth="1"/>
    <col min="5" max="6" width="22.44140625" bestFit="1" customWidth="1"/>
  </cols>
  <sheetData>
    <row r="1" spans="1:5" ht="18" x14ac:dyDescent="0.3">
      <c r="A1" s="5" t="s">
        <v>0</v>
      </c>
    </row>
    <row r="2" spans="1:5" ht="43.2" customHeight="1" x14ac:dyDescent="0.3">
      <c r="A2" s="6" t="str">
        <f>D2</f>
        <v>NOMBRE: DAVID ANZOLEAGA MONTECINOS . .</v>
      </c>
      <c r="D2" s="1" t="str">
        <f>IF('PEGAR DATOS AQUI'!$D2="","","NOMBRE: "&amp;UPPER('PEGAR DATOS AQUI'!B2)&amp;" "&amp;'PEGAR DATOS AQUI'!C2&amp;" "&amp;'PEGAR DATOS AQUI'!D2)</f>
        <v>NOMBRE: DAVID ANZOLEAGA MONTECINOS . .</v>
      </c>
      <c r="E2" s="1" t="str">
        <f>IF(D2="","","DIPLOMADO: "&amp;UPPER('PEGAR DATOS AQUI'!$G$1)&amp;"")</f>
        <v>DIPLOMADO: ETHICAL HACKING Y CIBERSEGURIDAD CON INTELIGENCIA ARTIFICIAL V7</v>
      </c>
    </row>
    <row r="3" spans="1:5" ht="43.2" customHeight="1" x14ac:dyDescent="0.3">
      <c r="A3" s="7" t="str">
        <f>E2</f>
        <v>DIPLOMADO: ETHICAL HACKING Y CIBERSEGURIDAD CON INTELIGENCIA ARTIFICIAL V7</v>
      </c>
      <c r="D3" s="1" t="str">
        <f>IF('PEGAR DATOS AQUI'!$D3="","","NOMBRE: "&amp;UPPER('PEGAR DATOS AQUI'!B3)&amp;" "&amp;'PEGAR DATOS AQUI'!C3&amp;" "&amp;'PEGAR DATOS AQUI'!D3)</f>
        <v>NOMBRE: EBERTH CANAVIRI . .</v>
      </c>
      <c r="E3" s="1" t="str">
        <f>IF(D3="","","DIPLOMADO: "&amp;UPPER('PEGAR DATOS AQUI'!$G$1)&amp;"")</f>
        <v>DIPLOMADO: ETHICAL HACKING Y CIBERSEGURIDAD CON INTELIGENCIA ARTIFICIAL V7</v>
      </c>
    </row>
    <row r="4" spans="1:5" ht="43.2" customHeight="1" x14ac:dyDescent="0.3">
      <c r="A4" s="6" t="str">
        <f>D3</f>
        <v>NOMBRE: EBERTH CANAVIRI . .</v>
      </c>
      <c r="D4" s="1" t="str">
        <f>IF('PEGAR DATOS AQUI'!$D4="","","NOMBRE: "&amp;UPPER('PEGAR DATOS AQUI'!B4)&amp;" "&amp;'PEGAR DATOS AQUI'!C4&amp;" "&amp;'PEGAR DATOS AQUI'!D4)</f>
        <v>NOMBRE: JUANITOPSF  . .</v>
      </c>
      <c r="E4" s="1" t="str">
        <f>IF(D4="","","DIPLOMADO: "&amp;UPPER('PEGAR DATOS AQUI'!$G$1)&amp;"")</f>
        <v>DIPLOMADO: ETHICAL HACKING Y CIBERSEGURIDAD CON INTELIGENCIA ARTIFICIAL V7</v>
      </c>
    </row>
    <row r="5" spans="1:5" ht="43.2" customHeight="1" x14ac:dyDescent="0.3">
      <c r="A5" s="7" t="str">
        <f>E3</f>
        <v>DIPLOMADO: ETHICAL HACKING Y CIBERSEGURIDAD CON INTELIGENCIA ARTIFICIAL V7</v>
      </c>
      <c r="D5" s="1" t="str">
        <f>IF('PEGAR DATOS AQUI'!$D5="","","NOMBRE: "&amp;UPPER('PEGAR DATOS AQUI'!B5)&amp;" "&amp;'PEGAR DATOS AQUI'!C5&amp;" "&amp;'PEGAR DATOS AQUI'!D5)</f>
        <v>NOMBRE:  . .</v>
      </c>
      <c r="E5" s="1" t="str">
        <f>IF(D5="","","DIPLOMADO: "&amp;UPPER('PEGAR DATOS AQUI'!$G$1)&amp;"")</f>
        <v>DIPLOMADO: ETHICAL HACKING Y CIBERSEGURIDAD CON INTELIGENCIA ARTIFICIAL V7</v>
      </c>
    </row>
    <row r="6" spans="1:5" ht="43.2" customHeight="1" x14ac:dyDescent="0.3">
      <c r="A6" s="6" t="str">
        <f>D4</f>
        <v>NOMBRE: JUANITOPSF  . .</v>
      </c>
      <c r="D6" s="1" t="str">
        <f>IF('PEGAR DATOS AQUI'!$D6="","","NOMBRE: "&amp;UPPER('PEGAR DATOS AQUI'!B6)&amp;" "&amp;'PEGAR DATOS AQUI'!C6&amp;" "&amp;'PEGAR DATOS AQUI'!D6)</f>
        <v>NOMBRE:  . .</v>
      </c>
      <c r="E6" s="1" t="str">
        <f>IF(D6="","","DIPLOMADO: "&amp;UPPER('PEGAR DATOS AQUI'!$G$1)&amp;"")</f>
        <v>DIPLOMADO: ETHICAL HACKING Y CIBERSEGURIDAD CON INTELIGENCIA ARTIFICIAL V7</v>
      </c>
    </row>
    <row r="7" spans="1:5" ht="43.2" customHeight="1" x14ac:dyDescent="0.3">
      <c r="A7" s="7" t="str">
        <f>E4</f>
        <v>DIPLOMADO: ETHICAL HACKING Y CIBERSEGURIDAD CON INTELIGENCIA ARTIFICIAL V7</v>
      </c>
      <c r="D7" s="1" t="str">
        <f>IF('PEGAR DATOS AQUI'!$D7="","","NOMBRE: "&amp;UPPER('PEGAR DATOS AQUI'!B7)&amp;" "&amp;'PEGAR DATOS AQUI'!C7&amp;" "&amp;'PEGAR DATOS AQUI'!D7)</f>
        <v>NOMBRE:  . .</v>
      </c>
      <c r="E7" s="1" t="str">
        <f>IF(D7="","","DIPLOMADO: "&amp;UPPER('PEGAR DATOS AQUI'!$G$1)&amp;"")</f>
        <v>DIPLOMADO: ETHICAL HACKING Y CIBERSEGURIDAD CON INTELIGENCIA ARTIFICIAL V7</v>
      </c>
    </row>
    <row r="8" spans="1:5" ht="43.2" customHeight="1" x14ac:dyDescent="0.3">
      <c r="A8" s="6" t="str">
        <f>D5</f>
        <v>NOMBRE:  . .</v>
      </c>
      <c r="D8" s="1" t="str">
        <f>IF('PEGAR DATOS AQUI'!$D8="","","NOMBRE: "&amp;UPPER('PEGAR DATOS AQUI'!B8)&amp;" "&amp;'PEGAR DATOS AQUI'!C8&amp;" "&amp;'PEGAR DATOS AQUI'!D8)</f>
        <v>NOMBRE:  . .</v>
      </c>
      <c r="E8" s="1" t="str">
        <f>IF(D8="","","DIPLOMADO: "&amp;UPPER('PEGAR DATOS AQUI'!$G$1)&amp;"")</f>
        <v>DIPLOMADO: ETHICAL HACKING Y CIBERSEGURIDAD CON INTELIGENCIA ARTIFICIAL V7</v>
      </c>
    </row>
    <row r="9" spans="1:5" ht="43.2" customHeight="1" x14ac:dyDescent="0.3">
      <c r="A9" s="7" t="str">
        <f>E5</f>
        <v>DIPLOMADO: ETHICAL HACKING Y CIBERSEGURIDAD CON INTELIGENCIA ARTIFICIAL V7</v>
      </c>
      <c r="D9" s="1" t="str">
        <f>IF('PEGAR DATOS AQUI'!$D9="","","NOMBRE: "&amp;UPPER('PEGAR DATOS AQUI'!B9)&amp;" "&amp;'PEGAR DATOS AQUI'!C9&amp;" "&amp;'PEGAR DATOS AQUI'!D9)</f>
        <v>NOMBRE:  . .</v>
      </c>
      <c r="E9" s="1" t="str">
        <f>IF(D9="","","DIPLOMADO: "&amp;UPPER('PEGAR DATOS AQUI'!$G$1)&amp;"")</f>
        <v>DIPLOMADO: ETHICAL HACKING Y CIBERSEGURIDAD CON INTELIGENCIA ARTIFICIAL V7</v>
      </c>
    </row>
    <row r="10" spans="1:5" ht="43.2" customHeight="1" x14ac:dyDescent="0.3">
      <c r="A10" s="6" t="str">
        <f>D6</f>
        <v>NOMBRE:  . .</v>
      </c>
      <c r="D10" s="1" t="str">
        <f>IF('PEGAR DATOS AQUI'!$D10="","","NOMBRE: "&amp;UPPER('PEGAR DATOS AQUI'!B10)&amp;" "&amp;'PEGAR DATOS AQUI'!C10&amp;" "&amp;'PEGAR DATOS AQUI'!D10)</f>
        <v>NOMBRE:  . .</v>
      </c>
      <c r="E10" s="1" t="str">
        <f>IF(D10="","","DIPLOMADO: "&amp;UPPER('PEGAR DATOS AQUI'!$G$1)&amp;"")</f>
        <v>DIPLOMADO: ETHICAL HACKING Y CIBERSEGURIDAD CON INTELIGENCIA ARTIFICIAL V7</v>
      </c>
    </row>
    <row r="11" spans="1:5" ht="43.2" customHeight="1" x14ac:dyDescent="0.3">
      <c r="A11" s="7" t="str">
        <f>E6</f>
        <v>DIPLOMADO: ETHICAL HACKING Y CIBERSEGURIDAD CON INTELIGENCIA ARTIFICIAL V7</v>
      </c>
      <c r="D11" s="1" t="str">
        <f>IF('PEGAR DATOS AQUI'!$D11="","","NOMBRE: "&amp;UPPER('PEGAR DATOS AQUI'!B11)&amp;" "&amp;'PEGAR DATOS AQUI'!C11&amp;" "&amp;'PEGAR DATOS AQUI'!D11)</f>
        <v>NOMBRE:  . .</v>
      </c>
      <c r="E11" s="1" t="str">
        <f>IF(D11="","","DIPLOMADO: "&amp;UPPER('PEGAR DATOS AQUI'!$G$1)&amp;"")</f>
        <v>DIPLOMADO: ETHICAL HACKING Y CIBERSEGURIDAD CON INTELIGENCIA ARTIFICIAL V7</v>
      </c>
    </row>
    <row r="12" spans="1:5" ht="43.2" customHeight="1" x14ac:dyDescent="0.3">
      <c r="A12" s="6" t="str">
        <f>D7</f>
        <v>NOMBRE:  . .</v>
      </c>
      <c r="D12" s="1" t="str">
        <f>IF('PEGAR DATOS AQUI'!$D12="","","NOMBRE: "&amp;UPPER('PEGAR DATOS AQUI'!B12)&amp;" "&amp;'PEGAR DATOS AQUI'!C12&amp;" "&amp;'PEGAR DATOS AQUI'!D12)</f>
        <v>NOMBRE:  . .</v>
      </c>
      <c r="E12" s="1" t="str">
        <f>IF(D12="","","DIPLOMADO: "&amp;UPPER('PEGAR DATOS AQUI'!$G$1)&amp;"")</f>
        <v>DIPLOMADO: ETHICAL HACKING Y CIBERSEGURIDAD CON INTELIGENCIA ARTIFICIAL V7</v>
      </c>
    </row>
    <row r="13" spans="1:5" ht="43.2" customHeight="1" x14ac:dyDescent="0.3">
      <c r="A13" s="7" t="str">
        <f>E7</f>
        <v>DIPLOMADO: ETHICAL HACKING Y CIBERSEGURIDAD CON INTELIGENCIA ARTIFICIAL V7</v>
      </c>
      <c r="D13" s="1" t="str">
        <f>IF('PEGAR DATOS AQUI'!$D13="","","NOMBRE: "&amp;UPPER('PEGAR DATOS AQUI'!B13)&amp;" "&amp;'PEGAR DATOS AQUI'!C13&amp;" "&amp;'PEGAR DATOS AQUI'!D13)</f>
        <v>NOMBRE:  . .</v>
      </c>
      <c r="E13" s="1" t="str">
        <f>IF(D13="","","DIPLOMADO: "&amp;UPPER('PEGAR DATOS AQUI'!$G$1)&amp;"")</f>
        <v>DIPLOMADO: ETHICAL HACKING Y CIBERSEGURIDAD CON INTELIGENCIA ARTIFICIAL V7</v>
      </c>
    </row>
    <row r="14" spans="1:5" ht="43.2" customHeight="1" x14ac:dyDescent="0.3">
      <c r="A14" s="6" t="str">
        <f>D8</f>
        <v>NOMBRE:  . .</v>
      </c>
      <c r="D14" s="1" t="str">
        <f>IF('PEGAR DATOS AQUI'!$D14="","","NOMBRE: "&amp;UPPER('PEGAR DATOS AQUI'!B14)&amp;" "&amp;'PEGAR DATOS AQUI'!C14&amp;" "&amp;'PEGAR DATOS AQUI'!D14)</f>
        <v>NOMBRE:  . .</v>
      </c>
      <c r="E14" s="1" t="str">
        <f>IF(D14="","","DIPLOMADO: "&amp;UPPER('PEGAR DATOS AQUI'!$G$1)&amp;"")</f>
        <v>DIPLOMADO: ETHICAL HACKING Y CIBERSEGURIDAD CON INTELIGENCIA ARTIFICIAL V7</v>
      </c>
    </row>
    <row r="15" spans="1:5" ht="43.2" customHeight="1" x14ac:dyDescent="0.3">
      <c r="A15" s="7" t="str">
        <f>E8</f>
        <v>DIPLOMADO: ETHICAL HACKING Y CIBERSEGURIDAD CON INTELIGENCIA ARTIFICIAL V7</v>
      </c>
      <c r="D15" s="1" t="str">
        <f>IF('PEGAR DATOS AQUI'!$D15="","","NOMBRE: "&amp;UPPER('PEGAR DATOS AQUI'!B15)&amp;" "&amp;'PEGAR DATOS AQUI'!C15&amp;" "&amp;'PEGAR DATOS AQUI'!D15)</f>
        <v>NOMBRE:  . .</v>
      </c>
      <c r="E15" s="1" t="str">
        <f>IF(D15="","","DIPLOMADO: "&amp;UPPER('PEGAR DATOS AQUI'!$G$1)&amp;"")</f>
        <v>DIPLOMADO: ETHICAL HACKING Y CIBERSEGURIDAD CON INTELIGENCIA ARTIFICIAL V7</v>
      </c>
    </row>
    <row r="16" spans="1:5" ht="43.2" customHeight="1" x14ac:dyDescent="0.3">
      <c r="A16" s="6" t="str">
        <f>D9</f>
        <v>NOMBRE:  . .</v>
      </c>
      <c r="D16" s="1" t="str">
        <f>IF('PEGAR DATOS AQUI'!$D16="","","NOMBRE: "&amp;UPPER('PEGAR DATOS AQUI'!B16)&amp;" "&amp;'PEGAR DATOS AQUI'!C16&amp;" "&amp;'PEGAR DATOS AQUI'!D16)</f>
        <v>NOMBRE:  . .</v>
      </c>
      <c r="E16" s="1" t="str">
        <f>IF(D16="","","DIPLOMADO: "&amp;UPPER('PEGAR DATOS AQUI'!$G$1)&amp;"")</f>
        <v>DIPLOMADO: ETHICAL HACKING Y CIBERSEGURIDAD CON INTELIGENCIA ARTIFICIAL V7</v>
      </c>
    </row>
    <row r="17" spans="1:5" ht="43.2" customHeight="1" x14ac:dyDescent="0.3">
      <c r="A17" s="7" t="str">
        <f>E9</f>
        <v>DIPLOMADO: ETHICAL HACKING Y CIBERSEGURIDAD CON INTELIGENCIA ARTIFICIAL V7</v>
      </c>
      <c r="D17" s="1" t="str">
        <f>IF('PEGAR DATOS AQUI'!$D17="","","NOMBRE: "&amp;UPPER('PEGAR DATOS AQUI'!B17)&amp;" "&amp;'PEGAR DATOS AQUI'!C17&amp;" "&amp;'PEGAR DATOS AQUI'!D17)</f>
        <v>NOMBRE:  . .</v>
      </c>
      <c r="E17" s="1" t="str">
        <f>IF(D17="","","DIPLOMADO: "&amp;UPPER('PEGAR DATOS AQUI'!$G$1)&amp;"")</f>
        <v>DIPLOMADO: ETHICAL HACKING Y CIBERSEGURIDAD CON INTELIGENCIA ARTIFICIAL V7</v>
      </c>
    </row>
    <row r="18" spans="1:5" ht="43.2" customHeight="1" x14ac:dyDescent="0.3">
      <c r="A18" s="6" t="str">
        <f>D10</f>
        <v>NOMBRE:  . .</v>
      </c>
      <c r="D18" s="1" t="str">
        <f>IF('PEGAR DATOS AQUI'!$D18="","","NOMBRE: "&amp;UPPER('PEGAR DATOS AQUI'!B18)&amp;" "&amp;'PEGAR DATOS AQUI'!C18&amp;" "&amp;'PEGAR DATOS AQUI'!D18)</f>
        <v>NOMBRE:  . .</v>
      </c>
      <c r="E18" s="1" t="str">
        <f>IF(D18="","","DIPLOMADO: "&amp;UPPER('PEGAR DATOS AQUI'!$G$1)&amp;"")</f>
        <v>DIPLOMADO: ETHICAL HACKING Y CIBERSEGURIDAD CON INTELIGENCIA ARTIFICIAL V7</v>
      </c>
    </row>
    <row r="19" spans="1:5" ht="43.2" customHeight="1" x14ac:dyDescent="0.3">
      <c r="A19" s="7" t="str">
        <f>E10</f>
        <v>DIPLOMADO: ETHICAL HACKING Y CIBERSEGURIDAD CON INTELIGENCIA ARTIFICIAL V7</v>
      </c>
      <c r="D19" s="1" t="str">
        <f>IF('PEGAR DATOS AQUI'!$D19="","","NOMBRE: "&amp;UPPER('PEGAR DATOS AQUI'!B19)&amp;" "&amp;'PEGAR DATOS AQUI'!C19&amp;" "&amp;'PEGAR DATOS AQUI'!D19)</f>
        <v>NOMBRE:  . .</v>
      </c>
      <c r="E19" s="1" t="str">
        <f>IF(D19="","","DIPLOMADO: "&amp;UPPER('PEGAR DATOS AQUI'!$G$1)&amp;"")</f>
        <v>DIPLOMADO: ETHICAL HACKING Y CIBERSEGURIDAD CON INTELIGENCIA ARTIFICIAL V7</v>
      </c>
    </row>
    <row r="20" spans="1:5" ht="43.2" customHeight="1" x14ac:dyDescent="0.3">
      <c r="A20" s="6" t="str">
        <f>D11</f>
        <v>NOMBRE:  . .</v>
      </c>
      <c r="D20" s="9" t="str">
        <f>IF('PEGAR DATOS AQUI'!$D20="","","NOMBRE: "&amp;UPPER('PEGAR DATOS AQUI'!B20)&amp;" "&amp;'PEGAR DATOS AQUI'!C20&amp;" "&amp;'PEGAR DATOS AQUI'!D20)</f>
        <v>NOMBRE:  . .</v>
      </c>
      <c r="E20" s="1" t="str">
        <f>IF(D20="","","DIPLOMADO: "&amp;UPPER('PEGAR DATOS AQUI'!$G$1)&amp;"")</f>
        <v>DIPLOMADO: ETHICAL HACKING Y CIBERSEGURIDAD CON INTELIGENCIA ARTIFICIAL V7</v>
      </c>
    </row>
    <row r="21" spans="1:5" ht="43.2" customHeight="1" x14ac:dyDescent="0.3">
      <c r="A21" s="7" t="str">
        <f>E11</f>
        <v>DIPLOMADO: ETHICAL HACKING Y CIBERSEGURIDAD CON INTELIGENCIA ARTIFICIAL V7</v>
      </c>
      <c r="D21" s="1" t="str">
        <f>IF('PEGAR DATOS AQUI'!$D21="","","NOMBRE: "&amp;UPPER('PEGAR DATOS AQUI'!B21)&amp;" "&amp;'PEGAR DATOS AQUI'!C21&amp;" "&amp;'PEGAR DATOS AQUI'!D21)</f>
        <v>NOMBRE:  . .</v>
      </c>
      <c r="E21" s="1" t="str">
        <f>IF(D21="","","DIPLOMADO: "&amp;UPPER('PEGAR DATOS AQUI'!$G$1)&amp;"")</f>
        <v>DIPLOMADO: ETHICAL HACKING Y CIBERSEGURIDAD CON INTELIGENCIA ARTIFICIAL V7</v>
      </c>
    </row>
    <row r="22" spans="1:5" ht="43.2" customHeight="1" x14ac:dyDescent="0.3">
      <c r="A22" s="6" t="str">
        <f>D12</f>
        <v>NOMBRE:  . .</v>
      </c>
      <c r="D22" s="1" t="str">
        <f>IF('PEGAR DATOS AQUI'!$D22="","","NOMBRE: "&amp;UPPER('PEGAR DATOS AQUI'!B22)&amp;" "&amp;'PEGAR DATOS AQUI'!C22&amp;" "&amp;'PEGAR DATOS AQUI'!D22)</f>
        <v>NOMBRE:  . .</v>
      </c>
      <c r="E22" s="1" t="str">
        <f>IF(D22="","","DIPLOMADO: "&amp;UPPER('PEGAR DATOS AQUI'!$G$1)&amp;"")</f>
        <v>DIPLOMADO: ETHICAL HACKING Y CIBERSEGURIDAD CON INTELIGENCIA ARTIFICIAL V7</v>
      </c>
    </row>
    <row r="23" spans="1:5" ht="43.2" customHeight="1" x14ac:dyDescent="0.3">
      <c r="A23" s="7" t="str">
        <f>E12</f>
        <v>DIPLOMADO: ETHICAL HACKING Y CIBERSEGURIDAD CON INTELIGENCIA ARTIFICIAL V7</v>
      </c>
      <c r="D23" s="1" t="str">
        <f>IF('PEGAR DATOS AQUI'!$D23="","","NOMBRE: "&amp;UPPER('PEGAR DATOS AQUI'!B23)&amp;" "&amp;'PEGAR DATOS AQUI'!C23&amp;" "&amp;'PEGAR DATOS AQUI'!D23)</f>
        <v>NOMBRE:  . .</v>
      </c>
      <c r="E23" s="1" t="str">
        <f>IF(D23="","","DIPLOMADO: "&amp;UPPER('PEGAR DATOS AQUI'!$G$1)&amp;"")</f>
        <v>DIPLOMADO: ETHICAL HACKING Y CIBERSEGURIDAD CON INTELIGENCIA ARTIFICIAL V7</v>
      </c>
    </row>
    <row r="24" spans="1:5" ht="43.2" customHeight="1" x14ac:dyDescent="0.3">
      <c r="A24" s="6" t="str">
        <f>D13</f>
        <v>NOMBRE:  . .</v>
      </c>
      <c r="D24" s="1" t="str">
        <f>IF('PEGAR DATOS AQUI'!$D24="","","NOMBRE: "&amp;UPPER('PEGAR DATOS AQUI'!B24)&amp;" "&amp;'PEGAR DATOS AQUI'!C24&amp;" "&amp;'PEGAR DATOS AQUI'!D24)</f>
        <v>NOMBRE:  . .</v>
      </c>
      <c r="E24" s="1" t="str">
        <f>IF(D24="","","DIPLOMADO: "&amp;UPPER('PEGAR DATOS AQUI'!$G$1)&amp;"")</f>
        <v>DIPLOMADO: ETHICAL HACKING Y CIBERSEGURIDAD CON INTELIGENCIA ARTIFICIAL V7</v>
      </c>
    </row>
    <row r="25" spans="1:5" ht="43.2" customHeight="1" x14ac:dyDescent="0.3">
      <c r="A25" s="7" t="str">
        <f>E13</f>
        <v>DIPLOMADO: ETHICAL HACKING Y CIBERSEGURIDAD CON INTELIGENCIA ARTIFICIAL V7</v>
      </c>
      <c r="D25" s="1" t="str">
        <f>IF('PEGAR DATOS AQUI'!$D25="","","NOMBRE: "&amp;UPPER('PEGAR DATOS AQUI'!B25)&amp;" "&amp;'PEGAR DATOS AQUI'!C25&amp;" "&amp;'PEGAR DATOS AQUI'!D25)</f>
        <v>NOMBRE:  . .</v>
      </c>
      <c r="E25" s="1" t="str">
        <f>IF(D25="","","DIPLOMADO: "&amp;UPPER('PEGAR DATOS AQUI'!$G$1)&amp;"")</f>
        <v>DIPLOMADO: ETHICAL HACKING Y CIBERSEGURIDAD CON INTELIGENCIA ARTIFICIAL V7</v>
      </c>
    </row>
    <row r="26" spans="1:5" ht="43.2" customHeight="1" x14ac:dyDescent="0.3">
      <c r="A26" s="6" t="str">
        <f>D14</f>
        <v>NOMBRE:  . .</v>
      </c>
      <c r="D26" s="1" t="str">
        <f>IF('PEGAR DATOS AQUI'!$D26="","","NOMBRE: "&amp;UPPER('PEGAR DATOS AQUI'!B26)&amp;" "&amp;'PEGAR DATOS AQUI'!C26&amp;" "&amp;'PEGAR DATOS AQUI'!D26)</f>
        <v>NOMBRE:  . .</v>
      </c>
      <c r="E26" s="1" t="str">
        <f>IF(D26="","","DIPLOMADO: "&amp;UPPER('PEGAR DATOS AQUI'!$G$1)&amp;"")</f>
        <v>DIPLOMADO: ETHICAL HACKING Y CIBERSEGURIDAD CON INTELIGENCIA ARTIFICIAL V7</v>
      </c>
    </row>
    <row r="27" spans="1:5" ht="43.2" customHeight="1" x14ac:dyDescent="0.3">
      <c r="A27" s="7" t="str">
        <f>E14</f>
        <v>DIPLOMADO: ETHICAL HACKING Y CIBERSEGURIDAD CON INTELIGENCIA ARTIFICIAL V7</v>
      </c>
      <c r="D27" s="1" t="str">
        <f>IF('PEGAR DATOS AQUI'!$D27="","","NOMBRE: "&amp;UPPER('PEGAR DATOS AQUI'!B27)&amp;" "&amp;'PEGAR DATOS AQUI'!C27&amp;" "&amp;'PEGAR DATOS AQUI'!D27)</f>
        <v>NOMBRE:  . .</v>
      </c>
      <c r="E27" s="1" t="str">
        <f>IF(D27="","","DIPLOMADO: "&amp;UPPER('PEGAR DATOS AQUI'!$G$1)&amp;"")</f>
        <v>DIPLOMADO: ETHICAL HACKING Y CIBERSEGURIDAD CON INTELIGENCIA ARTIFICIAL V7</v>
      </c>
    </row>
    <row r="28" spans="1:5" ht="43.2" customHeight="1" x14ac:dyDescent="0.3">
      <c r="A28" s="6" t="str">
        <f>D15</f>
        <v>NOMBRE:  . .</v>
      </c>
      <c r="D28" s="1" t="str">
        <f>IF('PEGAR DATOS AQUI'!$D28="","","NOMBRE: "&amp;UPPER('PEGAR DATOS AQUI'!B28)&amp;" "&amp;'PEGAR DATOS AQUI'!C28&amp;" "&amp;'PEGAR DATOS AQUI'!D28)</f>
        <v>NOMBRE:  . .</v>
      </c>
      <c r="E28" s="1" t="str">
        <f>IF(D28="","","DIPLOMADO: "&amp;UPPER('PEGAR DATOS AQUI'!$G$1)&amp;"")</f>
        <v>DIPLOMADO: ETHICAL HACKING Y CIBERSEGURIDAD CON INTELIGENCIA ARTIFICIAL V7</v>
      </c>
    </row>
    <row r="29" spans="1:5" ht="43.2" customHeight="1" x14ac:dyDescent="0.3">
      <c r="A29" s="7" t="str">
        <f>E15</f>
        <v>DIPLOMADO: ETHICAL HACKING Y CIBERSEGURIDAD CON INTELIGENCIA ARTIFICIAL V7</v>
      </c>
      <c r="D29" s="1" t="str">
        <f>IF('PEGAR DATOS AQUI'!$D29="","","NOMBRE: "&amp;UPPER('PEGAR DATOS AQUI'!B29)&amp;" "&amp;'PEGAR DATOS AQUI'!C29&amp;" "&amp;'PEGAR DATOS AQUI'!D29)</f>
        <v>NOMBRE:  . .</v>
      </c>
      <c r="E29" s="1" t="str">
        <f>IF(D29="","","DIPLOMADO: "&amp;UPPER('PEGAR DATOS AQUI'!$G$1)&amp;"")</f>
        <v>DIPLOMADO: ETHICAL HACKING Y CIBERSEGURIDAD CON INTELIGENCIA ARTIFICIAL V7</v>
      </c>
    </row>
    <row r="30" spans="1:5" ht="43.2" customHeight="1" x14ac:dyDescent="0.3">
      <c r="A30" s="6" t="str">
        <f>D16</f>
        <v>NOMBRE:  . .</v>
      </c>
      <c r="D30" s="1" t="str">
        <f>IF('PEGAR DATOS AQUI'!$D30="","","NOMBRE: "&amp;UPPER('PEGAR DATOS AQUI'!B30)&amp;" "&amp;'PEGAR DATOS AQUI'!C30&amp;" "&amp;'PEGAR DATOS AQUI'!D30)</f>
        <v>NOMBRE:  . .</v>
      </c>
      <c r="E30" s="1" t="str">
        <f>IF(D30="","","DIPLOMADO: "&amp;UPPER('PEGAR DATOS AQUI'!$G$1)&amp;"")</f>
        <v>DIPLOMADO: ETHICAL HACKING Y CIBERSEGURIDAD CON INTELIGENCIA ARTIFICIAL V7</v>
      </c>
    </row>
    <row r="31" spans="1:5" ht="43.2" customHeight="1" x14ac:dyDescent="0.3">
      <c r="A31" s="7" t="str">
        <f>E16</f>
        <v>DIPLOMADO: ETHICAL HACKING Y CIBERSEGURIDAD CON INTELIGENCIA ARTIFICIAL V7</v>
      </c>
      <c r="D31" s="1" t="str">
        <f>IF('PEGAR DATOS AQUI'!$D31="","","NOMBRE: "&amp;UPPER('PEGAR DATOS AQUI'!B31)&amp;" "&amp;'PEGAR DATOS AQUI'!C31&amp;" "&amp;'PEGAR DATOS AQUI'!D31)</f>
        <v>NOMBRE:  . .</v>
      </c>
      <c r="E31" s="1" t="str">
        <f>IF(D31="","","DIPLOMADO: "&amp;UPPER('PEGAR DATOS AQUI'!$G$1)&amp;"")</f>
        <v>DIPLOMADO: ETHICAL HACKING Y CIBERSEGURIDAD CON INTELIGENCIA ARTIFICIAL V7</v>
      </c>
    </row>
    <row r="32" spans="1:5" ht="43.2" customHeight="1" x14ac:dyDescent="0.3">
      <c r="A32" s="6" t="str">
        <f>D17</f>
        <v>NOMBRE:  . .</v>
      </c>
      <c r="D32" s="1" t="str">
        <f>IF('PEGAR DATOS AQUI'!$D32="","","NOMBRE: "&amp;UPPER('PEGAR DATOS AQUI'!B32)&amp;" "&amp;'PEGAR DATOS AQUI'!C32&amp;" "&amp;'PEGAR DATOS AQUI'!D32)</f>
        <v>NOMBRE:  . .</v>
      </c>
      <c r="E32" s="1" t="str">
        <f>IF(D32="","","DIPLOMADO: "&amp;UPPER('PEGAR DATOS AQUI'!$G$1)&amp;"")</f>
        <v>DIPLOMADO: ETHICAL HACKING Y CIBERSEGURIDAD CON INTELIGENCIA ARTIFICIAL V7</v>
      </c>
    </row>
    <row r="33" spans="1:5" ht="43.2" customHeight="1" x14ac:dyDescent="0.3">
      <c r="A33" s="7" t="str">
        <f>E17</f>
        <v>DIPLOMADO: ETHICAL HACKING Y CIBERSEGURIDAD CON INTELIGENCIA ARTIFICIAL V7</v>
      </c>
      <c r="D33" s="1" t="str">
        <f>IF('PEGAR DATOS AQUI'!$D33="","","NOMBRE: "&amp;UPPER('PEGAR DATOS AQUI'!B33)&amp;" "&amp;'PEGAR DATOS AQUI'!C33&amp;" "&amp;'PEGAR DATOS AQUI'!D33)</f>
        <v>NOMBRE:  . .</v>
      </c>
      <c r="E33" s="1" t="str">
        <f>IF(D33="","","DIPLOMADO: "&amp;UPPER('PEGAR DATOS AQUI'!$G$1)&amp;"")</f>
        <v>DIPLOMADO: ETHICAL HACKING Y CIBERSEGURIDAD CON INTELIGENCIA ARTIFICIAL V7</v>
      </c>
    </row>
    <row r="34" spans="1:5" ht="43.2" customHeight="1" x14ac:dyDescent="0.3">
      <c r="A34" s="6" t="str">
        <f>D18</f>
        <v>NOMBRE:  . .</v>
      </c>
      <c r="D34" s="1" t="str">
        <f>IF('PEGAR DATOS AQUI'!$D34="","","NOMBRE: "&amp;UPPER('PEGAR DATOS AQUI'!B34)&amp;" "&amp;'PEGAR DATOS AQUI'!C34&amp;" "&amp;'PEGAR DATOS AQUI'!D34)</f>
        <v/>
      </c>
      <c r="E34" s="1" t="str">
        <f>IF(D34="","","DIPLOMADO: "&amp;UPPER('PEGAR DATOS AQUI'!$G$1)&amp;"")</f>
        <v/>
      </c>
    </row>
    <row r="35" spans="1:5" ht="43.2" customHeight="1" x14ac:dyDescent="0.3">
      <c r="A35" s="7" t="str">
        <f>E18</f>
        <v>DIPLOMADO: ETHICAL HACKING Y CIBERSEGURIDAD CON INTELIGENCIA ARTIFICIAL V7</v>
      </c>
      <c r="D35" s="1" t="str">
        <f>IF('PEGAR DATOS AQUI'!$D35="","","NOMBRE: "&amp;UPPER('PEGAR DATOS AQUI'!B35)&amp;" "&amp;'PEGAR DATOS AQUI'!C35&amp;" "&amp;'PEGAR DATOS AQUI'!D35)</f>
        <v/>
      </c>
      <c r="E35" s="1" t="str">
        <f>IF(D35="","","DIPLOMADO: "&amp;UPPER('PEGAR DATOS AQUI'!$G$1)&amp;"")</f>
        <v/>
      </c>
    </row>
    <row r="36" spans="1:5" ht="43.2" customHeight="1" x14ac:dyDescent="0.3">
      <c r="A36" s="6" t="str">
        <f>D19</f>
        <v>NOMBRE:  . .</v>
      </c>
      <c r="D36" s="1" t="str">
        <f>IF('PEGAR DATOS AQUI'!$D36="","","NOMBRE: "&amp;UPPER('PEGAR DATOS AQUI'!B36)&amp;" "&amp;'PEGAR DATOS AQUI'!C36&amp;" "&amp;'PEGAR DATOS AQUI'!D36)</f>
        <v/>
      </c>
      <c r="E36" s="1" t="str">
        <f>IF(D36="","","DIPLOMADO: "&amp;UPPER('PEGAR DATOS AQUI'!$G$1)&amp;"")</f>
        <v/>
      </c>
    </row>
    <row r="37" spans="1:5" ht="43.2" customHeight="1" x14ac:dyDescent="0.3">
      <c r="A37" s="7" t="str">
        <f>E19</f>
        <v>DIPLOMADO: ETHICAL HACKING Y CIBERSEGURIDAD CON INTELIGENCIA ARTIFICIAL V7</v>
      </c>
      <c r="D37" s="1" t="str">
        <f>IF('PEGAR DATOS AQUI'!$D37="","","NOMBRE: "&amp;UPPER('PEGAR DATOS AQUI'!B37)&amp;" "&amp;'PEGAR DATOS AQUI'!C37&amp;" "&amp;'PEGAR DATOS AQUI'!D37)</f>
        <v/>
      </c>
      <c r="E37" s="1" t="str">
        <f>IF(D37="","","DIPLOMADO: "&amp;UPPER('PEGAR DATOS AQUI'!$G$1)&amp;"")</f>
        <v/>
      </c>
    </row>
    <row r="38" spans="1:5" ht="43.2" customHeight="1" x14ac:dyDescent="0.3">
      <c r="A38" s="6" t="str">
        <f>D20</f>
        <v>NOMBRE:  . .</v>
      </c>
      <c r="D38" s="1" t="str">
        <f>IF('PEGAR DATOS AQUI'!$D38="","","NOMBRE: "&amp;UPPER('PEGAR DATOS AQUI'!B38)&amp;" "&amp;'PEGAR DATOS AQUI'!C38&amp;" "&amp;'PEGAR DATOS AQUI'!D38)</f>
        <v/>
      </c>
      <c r="E38" s="1" t="str">
        <f>IF(D38="","","DIPLOMADO: "&amp;UPPER('PEGAR DATOS AQUI'!$G$1)&amp;"")</f>
        <v/>
      </c>
    </row>
    <row r="39" spans="1:5" ht="43.2" customHeight="1" x14ac:dyDescent="0.3">
      <c r="A39" s="7" t="str">
        <f>E20</f>
        <v>DIPLOMADO: ETHICAL HACKING Y CIBERSEGURIDAD CON INTELIGENCIA ARTIFICIAL V7</v>
      </c>
      <c r="D39" s="1" t="str">
        <f>IF('PEGAR DATOS AQUI'!$D39="","","NOMBRE: "&amp;UPPER('PEGAR DATOS AQUI'!B39)&amp;" "&amp;'PEGAR DATOS AQUI'!C39&amp;" "&amp;'PEGAR DATOS AQUI'!D39)</f>
        <v/>
      </c>
      <c r="E39" s="1" t="str">
        <f>IF(D39="","","DIPLOMADO: "&amp;UPPER('PEGAR DATOS AQUI'!$G$1)&amp;"")</f>
        <v/>
      </c>
    </row>
    <row r="40" spans="1:5" ht="43.2" customHeight="1" x14ac:dyDescent="0.3">
      <c r="A40" s="6" t="str">
        <f>D21</f>
        <v>NOMBRE:  . .</v>
      </c>
      <c r="D40" s="1" t="str">
        <f>IF('PEGAR DATOS AQUI'!$D40="","","NOMBRE: "&amp;UPPER('PEGAR DATOS AQUI'!B40)&amp;" "&amp;'PEGAR DATOS AQUI'!C40&amp;" "&amp;'PEGAR DATOS AQUI'!D40)</f>
        <v/>
      </c>
      <c r="E40" s="1" t="str">
        <f>IF(D40="","","DIPLOMADO: "&amp;UPPER('PEGAR DATOS AQUI'!$G$1)&amp;"")</f>
        <v/>
      </c>
    </row>
    <row r="41" spans="1:5" ht="43.2" customHeight="1" x14ac:dyDescent="0.3">
      <c r="A41" s="7" t="str">
        <f>E21</f>
        <v>DIPLOMADO: ETHICAL HACKING Y CIBERSEGURIDAD CON INTELIGENCIA ARTIFICIAL V7</v>
      </c>
      <c r="D41" s="1" t="str">
        <f>IF('PEGAR DATOS AQUI'!$D41="","","NOMBRE: "&amp;UPPER('PEGAR DATOS AQUI'!B41)&amp;" "&amp;'PEGAR DATOS AQUI'!C41&amp;" "&amp;'PEGAR DATOS AQUI'!D41)</f>
        <v/>
      </c>
      <c r="E41" s="1" t="str">
        <f>IF(D41="","","DIPLOMADO: "&amp;UPPER('PEGAR DATOS AQUI'!$G$1)&amp;"")</f>
        <v/>
      </c>
    </row>
    <row r="42" spans="1:5" ht="43.2" customHeight="1" x14ac:dyDescent="0.3">
      <c r="A42" s="6" t="str">
        <f>D22</f>
        <v>NOMBRE:  . .</v>
      </c>
      <c r="D42" s="1" t="str">
        <f>IF('PEGAR DATOS AQUI'!$D42="","","NOMBRE: "&amp;UPPER('PEGAR DATOS AQUI'!B42)&amp;" "&amp;'PEGAR DATOS AQUI'!C42&amp;" "&amp;'PEGAR DATOS AQUI'!D42)</f>
        <v/>
      </c>
      <c r="E42" s="1" t="str">
        <f>IF(D42="","","DIPLOMADO: "&amp;UPPER('PEGAR DATOS AQUI'!$G$1)&amp;"")</f>
        <v/>
      </c>
    </row>
    <row r="43" spans="1:5" ht="43.2" customHeight="1" x14ac:dyDescent="0.3">
      <c r="A43" s="7" t="str">
        <f>E22</f>
        <v>DIPLOMADO: ETHICAL HACKING Y CIBERSEGURIDAD CON INTELIGENCIA ARTIFICIAL V7</v>
      </c>
      <c r="D43" s="1" t="str">
        <f>IF('PEGAR DATOS AQUI'!$D43="","","NOMBRE: "&amp;UPPER('PEGAR DATOS AQUI'!B43)&amp;" "&amp;'PEGAR DATOS AQUI'!C43&amp;" "&amp;'PEGAR DATOS AQUI'!D43)</f>
        <v/>
      </c>
      <c r="E43" s="1" t="str">
        <f>IF(D43="","","DIPLOMADO: "&amp;UPPER('PEGAR DATOS AQUI'!$G$1)&amp;"")</f>
        <v/>
      </c>
    </row>
    <row r="44" spans="1:5" ht="43.2" customHeight="1" x14ac:dyDescent="0.3">
      <c r="A44" s="6" t="str">
        <f>D23</f>
        <v>NOMBRE:  . .</v>
      </c>
      <c r="D44" s="1" t="str">
        <f>IF('PEGAR DATOS AQUI'!$D44="","","NOMBRE: "&amp;UPPER('PEGAR DATOS AQUI'!B44)&amp;" "&amp;'PEGAR DATOS AQUI'!C44&amp;" "&amp;'PEGAR DATOS AQUI'!D44)</f>
        <v/>
      </c>
      <c r="E44" s="1" t="str">
        <f>IF(D44="","","DIPLOMADO: "&amp;UPPER('PEGAR DATOS AQUI'!$G$1)&amp;"")</f>
        <v/>
      </c>
    </row>
    <row r="45" spans="1:5" ht="43.2" customHeight="1" x14ac:dyDescent="0.3">
      <c r="A45" s="7" t="str">
        <f>E23</f>
        <v>DIPLOMADO: ETHICAL HACKING Y CIBERSEGURIDAD CON INTELIGENCIA ARTIFICIAL V7</v>
      </c>
      <c r="D45" s="1" t="str">
        <f>IF('PEGAR DATOS AQUI'!$D45="","","NOMBRE: "&amp;UPPER('PEGAR DATOS AQUI'!B45)&amp;" "&amp;'PEGAR DATOS AQUI'!C45&amp;" "&amp;'PEGAR DATOS AQUI'!D45)</f>
        <v/>
      </c>
      <c r="E45" s="1" t="str">
        <f>IF(D45="","","DIPLOMADO: "&amp;UPPER('PEGAR DATOS AQUI'!$G$1)&amp;"")</f>
        <v/>
      </c>
    </row>
    <row r="46" spans="1:5" ht="43.2" customHeight="1" x14ac:dyDescent="0.3">
      <c r="A46" s="6" t="str">
        <f>D24</f>
        <v>NOMBRE:  . .</v>
      </c>
      <c r="D46" s="1" t="str">
        <f>IF('PEGAR DATOS AQUI'!$D46="","","NOMBRE: "&amp;UPPER('PEGAR DATOS AQUI'!B46)&amp;" "&amp;'PEGAR DATOS AQUI'!C46&amp;" "&amp;'PEGAR DATOS AQUI'!D46)</f>
        <v/>
      </c>
      <c r="E46" s="1" t="str">
        <f>IF(D46="","","DIPLOMADO: "&amp;UPPER('PEGAR DATOS AQUI'!$G$1)&amp;"")</f>
        <v/>
      </c>
    </row>
    <row r="47" spans="1:5" ht="43.2" customHeight="1" x14ac:dyDescent="0.3">
      <c r="A47" s="7" t="str">
        <f>E24</f>
        <v>DIPLOMADO: ETHICAL HACKING Y CIBERSEGURIDAD CON INTELIGENCIA ARTIFICIAL V7</v>
      </c>
      <c r="D47" s="1" t="str">
        <f>IF('PEGAR DATOS AQUI'!$D47="","","NOMBRE: "&amp;UPPER('PEGAR DATOS AQUI'!B47)&amp;" "&amp;'PEGAR DATOS AQUI'!C47&amp;" "&amp;'PEGAR DATOS AQUI'!D47)</f>
        <v/>
      </c>
      <c r="E47" s="1" t="str">
        <f>IF(D47="","","DIPLOMADO: "&amp;UPPER('PEGAR DATOS AQUI'!$G$1)&amp;"")</f>
        <v/>
      </c>
    </row>
    <row r="48" spans="1:5" ht="43.2" customHeight="1" x14ac:dyDescent="0.3">
      <c r="A48" s="6" t="str">
        <f>D25</f>
        <v>NOMBRE:  . .</v>
      </c>
      <c r="D48" s="1" t="str">
        <f>IF('PEGAR DATOS AQUI'!$D48="","","NOMBRE: "&amp;UPPER('PEGAR DATOS AQUI'!B48)&amp;" "&amp;'PEGAR DATOS AQUI'!C48&amp;" "&amp;'PEGAR DATOS AQUI'!D48)</f>
        <v/>
      </c>
      <c r="E48" s="1" t="str">
        <f>IF(D48="","","DIPLOMADO: "&amp;UPPER('PEGAR DATOS AQUI'!$G$1)&amp;"")</f>
        <v/>
      </c>
    </row>
    <row r="49" spans="1:5" ht="43.2" customHeight="1" x14ac:dyDescent="0.3">
      <c r="A49" s="7" t="str">
        <f>E25</f>
        <v>DIPLOMADO: ETHICAL HACKING Y CIBERSEGURIDAD CON INTELIGENCIA ARTIFICIAL V7</v>
      </c>
      <c r="D49" s="1" t="str">
        <f>IF('PEGAR DATOS AQUI'!$D49="","","NOMBRE: "&amp;UPPER('PEGAR DATOS AQUI'!B49)&amp;" "&amp;'PEGAR DATOS AQUI'!C49&amp;" "&amp;'PEGAR DATOS AQUI'!D49)</f>
        <v/>
      </c>
      <c r="E49" s="1" t="str">
        <f>IF(D49="","","DIPLOMADO: "&amp;UPPER('PEGAR DATOS AQUI'!$G$1)&amp;"")</f>
        <v/>
      </c>
    </row>
    <row r="50" spans="1:5" ht="43.2" customHeight="1" x14ac:dyDescent="0.3">
      <c r="A50" s="6" t="str">
        <f>D26</f>
        <v>NOMBRE:  . .</v>
      </c>
      <c r="D50" s="1" t="str">
        <f>IF('PEGAR DATOS AQUI'!$D50="","","NOMBRE: "&amp;UPPER('PEGAR DATOS AQUI'!B50)&amp;" "&amp;'PEGAR DATOS AQUI'!C50&amp;" "&amp;'PEGAR DATOS AQUI'!D50)</f>
        <v/>
      </c>
      <c r="E50" s="1" t="str">
        <f>IF(D50="","","DIPLOMADO: "&amp;UPPER('PEGAR DATOS AQUI'!$G$1)&amp;"")</f>
        <v/>
      </c>
    </row>
    <row r="51" spans="1:5" ht="43.2" customHeight="1" x14ac:dyDescent="0.3">
      <c r="A51" s="7" t="str">
        <f>E26</f>
        <v>DIPLOMADO: ETHICAL HACKING Y CIBERSEGURIDAD CON INTELIGENCIA ARTIFICIAL V7</v>
      </c>
      <c r="D51" s="1" t="str">
        <f>IF('PEGAR DATOS AQUI'!$D51="","","NOMBRE: "&amp;UPPER('PEGAR DATOS AQUI'!B51)&amp;" "&amp;'PEGAR DATOS AQUI'!C51&amp;" "&amp;'PEGAR DATOS AQUI'!D51)</f>
        <v/>
      </c>
      <c r="E51" s="1" t="str">
        <f>IF(D51="","","DIPLOMADO: "&amp;UPPER('PEGAR DATOS AQUI'!$G$1)&amp;"")</f>
        <v/>
      </c>
    </row>
    <row r="52" spans="1:5" ht="43.2" customHeight="1" x14ac:dyDescent="0.3">
      <c r="A52" s="6" t="str">
        <f>D27</f>
        <v>NOMBRE:  . .</v>
      </c>
      <c r="D52" s="1" t="str">
        <f>IF('PEGAR DATOS AQUI'!$D52="","","NOMBRE: "&amp;UPPER('PEGAR DATOS AQUI'!B52)&amp;" "&amp;'PEGAR DATOS AQUI'!C52&amp;" "&amp;'PEGAR DATOS AQUI'!D52)</f>
        <v/>
      </c>
      <c r="E52" s="1" t="str">
        <f>IF(D52="","","DIPLOMADO: "&amp;UPPER('PEGAR DATOS AQUI'!$G$1)&amp;"")</f>
        <v/>
      </c>
    </row>
    <row r="53" spans="1:5" ht="43.2" customHeight="1" x14ac:dyDescent="0.3">
      <c r="A53" s="7" t="str">
        <f>E27</f>
        <v>DIPLOMADO: ETHICAL HACKING Y CIBERSEGURIDAD CON INTELIGENCIA ARTIFICIAL V7</v>
      </c>
      <c r="D53" s="1" t="str">
        <f>IF('PEGAR DATOS AQUI'!$D53="","","NOMBRE: "&amp;UPPER('PEGAR DATOS AQUI'!B53)&amp;" "&amp;'PEGAR DATOS AQUI'!C53&amp;" "&amp;'PEGAR DATOS AQUI'!D53)</f>
        <v/>
      </c>
      <c r="E53" s="1" t="str">
        <f>IF(D53="","","DIPLOMADO: "&amp;UPPER('PEGAR DATOS AQUI'!$G$1)&amp;"")</f>
        <v/>
      </c>
    </row>
    <row r="54" spans="1:5" ht="43.2" customHeight="1" x14ac:dyDescent="0.3">
      <c r="A54" s="6" t="str">
        <f>D28</f>
        <v>NOMBRE:  . .</v>
      </c>
      <c r="D54" s="1" t="str">
        <f>IF('PEGAR DATOS AQUI'!$D54="","","NOMBRE: "&amp;UPPER('PEGAR DATOS AQUI'!B54)&amp;" "&amp;'PEGAR DATOS AQUI'!C54&amp;" "&amp;'PEGAR DATOS AQUI'!D54)</f>
        <v/>
      </c>
      <c r="E54" s="1" t="str">
        <f>IF(D54="","","DIPLOMADO: "&amp;UPPER('PEGAR DATOS AQUI'!$G$1)&amp;"")</f>
        <v/>
      </c>
    </row>
    <row r="55" spans="1:5" ht="43.2" customHeight="1" x14ac:dyDescent="0.3">
      <c r="A55" s="7" t="str">
        <f>E28</f>
        <v>DIPLOMADO: ETHICAL HACKING Y CIBERSEGURIDAD CON INTELIGENCIA ARTIFICIAL V7</v>
      </c>
      <c r="D55" s="1" t="str">
        <f>IF('PEGAR DATOS AQUI'!$D55="","","NOMBRE: "&amp;UPPER('PEGAR DATOS AQUI'!B55)&amp;" "&amp;'PEGAR DATOS AQUI'!C55&amp;" "&amp;'PEGAR DATOS AQUI'!D55)</f>
        <v/>
      </c>
      <c r="E55" s="1" t="str">
        <f>IF(D55="","","DIPLOMADO: "&amp;UPPER('PEGAR DATOS AQUI'!$G$1)&amp;"")</f>
        <v/>
      </c>
    </row>
    <row r="56" spans="1:5" ht="43.2" customHeight="1" x14ac:dyDescent="0.3">
      <c r="A56" s="6" t="str">
        <f>D29</f>
        <v>NOMBRE:  . .</v>
      </c>
      <c r="D56" s="1" t="str">
        <f>IF('PEGAR DATOS AQUI'!$D56="","","NOMBRE: "&amp;UPPER('PEGAR DATOS AQUI'!B56)&amp;" "&amp;'PEGAR DATOS AQUI'!C56&amp;" "&amp;'PEGAR DATOS AQUI'!D56)</f>
        <v/>
      </c>
      <c r="E56" s="1" t="str">
        <f>IF(D56="","","DIPLOMADO: "&amp;UPPER('PEGAR DATOS AQUI'!$G$1)&amp;"")</f>
        <v/>
      </c>
    </row>
    <row r="57" spans="1:5" ht="43.2" customHeight="1" x14ac:dyDescent="0.3">
      <c r="A57" s="7" t="str">
        <f>E29</f>
        <v>DIPLOMADO: ETHICAL HACKING Y CIBERSEGURIDAD CON INTELIGENCIA ARTIFICIAL V7</v>
      </c>
      <c r="D57" s="1" t="str">
        <f>IF('PEGAR DATOS AQUI'!$D57="","","NOMBRE: "&amp;UPPER('PEGAR DATOS AQUI'!B57)&amp;" "&amp;'PEGAR DATOS AQUI'!C57&amp;" "&amp;'PEGAR DATOS AQUI'!D57)</f>
        <v/>
      </c>
      <c r="E57" s="1" t="str">
        <f>IF(D57="","","DIPLOMADO: "&amp;UPPER('PEGAR DATOS AQUI'!$G$1)&amp;"")</f>
        <v/>
      </c>
    </row>
    <row r="58" spans="1:5" ht="43.2" customHeight="1" x14ac:dyDescent="0.3">
      <c r="A58" s="6" t="str">
        <f>D30</f>
        <v>NOMBRE:  . .</v>
      </c>
      <c r="D58" s="1" t="str">
        <f>IF('PEGAR DATOS AQUI'!$D58="","","NOMBRE: "&amp;UPPER('PEGAR DATOS AQUI'!B58)&amp;" "&amp;'PEGAR DATOS AQUI'!C58&amp;" "&amp;'PEGAR DATOS AQUI'!D58)</f>
        <v/>
      </c>
      <c r="E58" s="1" t="str">
        <f>IF(D58="","","DIPLOMADO: "&amp;UPPER('PEGAR DATOS AQUI'!$G$1)&amp;"")</f>
        <v/>
      </c>
    </row>
    <row r="59" spans="1:5" ht="43.2" customHeight="1" x14ac:dyDescent="0.3">
      <c r="A59" s="7" t="str">
        <f>E30</f>
        <v>DIPLOMADO: ETHICAL HACKING Y CIBERSEGURIDAD CON INTELIGENCIA ARTIFICIAL V7</v>
      </c>
      <c r="D59" s="1" t="str">
        <f>IF('PEGAR DATOS AQUI'!$D59="","","NOMBRE: "&amp;UPPER('PEGAR DATOS AQUI'!B59)&amp;" "&amp;'PEGAR DATOS AQUI'!C59&amp;" "&amp;'PEGAR DATOS AQUI'!D59)</f>
        <v/>
      </c>
      <c r="E59" s="1" t="str">
        <f>IF(D59="","","DIPLOMADO: "&amp;UPPER('PEGAR DATOS AQUI'!$G$1)&amp;"")</f>
        <v/>
      </c>
    </row>
    <row r="60" spans="1:5" ht="43.2" customHeight="1" x14ac:dyDescent="0.3">
      <c r="A60" s="6" t="str">
        <f>D31</f>
        <v>NOMBRE:  . .</v>
      </c>
      <c r="D60" s="1" t="str">
        <f>IF('PEGAR DATOS AQUI'!$D60="","","NOMBRE: "&amp;UPPER('PEGAR DATOS AQUI'!B60)&amp;" "&amp;'PEGAR DATOS AQUI'!C60&amp;" "&amp;'PEGAR DATOS AQUI'!D60)</f>
        <v/>
      </c>
      <c r="E60" s="1" t="str">
        <f>IF(D60="","","DIPLOMADO: "&amp;UPPER('PEGAR DATOS AQUI'!$G$1)&amp;"")</f>
        <v/>
      </c>
    </row>
    <row r="61" spans="1:5" ht="43.2" customHeight="1" x14ac:dyDescent="0.3">
      <c r="A61" s="7" t="str">
        <f>E31</f>
        <v>DIPLOMADO: ETHICAL HACKING Y CIBERSEGURIDAD CON INTELIGENCIA ARTIFICIAL V7</v>
      </c>
      <c r="D61" s="1" t="str">
        <f>IF('PEGAR DATOS AQUI'!$D61="","","NOMBRE: "&amp;UPPER('PEGAR DATOS AQUI'!B61)&amp;" "&amp;'PEGAR DATOS AQUI'!C61&amp;" "&amp;'PEGAR DATOS AQUI'!D61)</f>
        <v/>
      </c>
      <c r="E61" s="1" t="str">
        <f>IF(D61="","","DIPLOMADO: "&amp;UPPER('PEGAR DATOS AQUI'!$G$1)&amp;"")</f>
        <v/>
      </c>
    </row>
    <row r="62" spans="1:5" ht="43.2" customHeight="1" x14ac:dyDescent="0.3">
      <c r="A62" s="6" t="str">
        <f>D32</f>
        <v>NOMBRE:  . .</v>
      </c>
      <c r="D62" s="1" t="str">
        <f>IF('PEGAR DATOS AQUI'!$D62="","","NOMBRE: "&amp;UPPER('PEGAR DATOS AQUI'!B62)&amp;" "&amp;'PEGAR DATOS AQUI'!C62&amp;" "&amp;'PEGAR DATOS AQUI'!D62)</f>
        <v/>
      </c>
      <c r="E62" s="1" t="str">
        <f>IF(D62="","","DIPLOMADO: "&amp;UPPER('PEGAR DATOS AQUI'!$G$1)&amp;"")</f>
        <v/>
      </c>
    </row>
    <row r="63" spans="1:5" ht="43.2" customHeight="1" x14ac:dyDescent="0.3">
      <c r="A63" s="7" t="str">
        <f>E32</f>
        <v>DIPLOMADO: ETHICAL HACKING Y CIBERSEGURIDAD CON INTELIGENCIA ARTIFICIAL V7</v>
      </c>
      <c r="D63" s="1" t="str">
        <f>IF('PEGAR DATOS AQUI'!$D63="","","NOMBRE: "&amp;UPPER('PEGAR DATOS AQUI'!B63)&amp;" "&amp;'PEGAR DATOS AQUI'!C63&amp;" "&amp;'PEGAR DATOS AQUI'!D63)</f>
        <v/>
      </c>
      <c r="E63" s="1" t="str">
        <f>IF(D63="","","DIPLOMADO: "&amp;UPPER('PEGAR DATOS AQUI'!$G$1)&amp;"")</f>
        <v/>
      </c>
    </row>
    <row r="64" spans="1:5" ht="43.2" customHeight="1" x14ac:dyDescent="0.3">
      <c r="A64" s="6" t="str">
        <f>D33</f>
        <v>NOMBRE:  . .</v>
      </c>
      <c r="D64" s="1" t="str">
        <f>IF('PEGAR DATOS AQUI'!$D64="","","NOMBRE: "&amp;UPPER('PEGAR DATOS AQUI'!B64)&amp;" "&amp;'PEGAR DATOS AQUI'!C64&amp;" "&amp;'PEGAR DATOS AQUI'!D64)</f>
        <v/>
      </c>
      <c r="E64" s="1" t="str">
        <f>IF(D64="","","DIPLOMADO: "&amp;UPPER('PEGAR DATOS AQUI'!$G$1)&amp;"")</f>
        <v/>
      </c>
    </row>
    <row r="65" spans="1:5" ht="43.2" customHeight="1" x14ac:dyDescent="0.3">
      <c r="A65" s="7" t="str">
        <f>E33</f>
        <v>DIPLOMADO: ETHICAL HACKING Y CIBERSEGURIDAD CON INTELIGENCIA ARTIFICIAL V7</v>
      </c>
      <c r="D65" s="1" t="str">
        <f>IF('PEGAR DATOS AQUI'!$D65="","","NOMBRE: "&amp;UPPER('PEGAR DATOS AQUI'!B65)&amp;" "&amp;'PEGAR DATOS AQUI'!C65&amp;" "&amp;'PEGAR DATOS AQUI'!D65)</f>
        <v/>
      </c>
      <c r="E65" s="1" t="str">
        <f>IF(D65="","","DIPLOMADO: "&amp;UPPER('PEGAR DATOS AQUI'!$G$1)&amp;"")</f>
        <v/>
      </c>
    </row>
    <row r="66" spans="1:5" ht="43.2" customHeight="1" x14ac:dyDescent="0.3">
      <c r="A66" s="6" t="str">
        <f>D34</f>
        <v/>
      </c>
      <c r="D66" s="1" t="str">
        <f>IF('PEGAR DATOS AQUI'!$D66="","","NOMBRE: "&amp;UPPER('PEGAR DATOS AQUI'!B66)&amp;" "&amp;'PEGAR DATOS AQUI'!C66&amp;" "&amp;'PEGAR DATOS AQUI'!D66)</f>
        <v/>
      </c>
      <c r="E66" s="1" t="str">
        <f>IF(D66="","","DIPLOMADO: "&amp;UPPER('PEGAR DATOS AQUI'!$G$1)&amp;"")</f>
        <v/>
      </c>
    </row>
    <row r="67" spans="1:5" ht="43.2" customHeight="1" x14ac:dyDescent="0.3">
      <c r="A67" s="7" t="str">
        <f>E34</f>
        <v/>
      </c>
      <c r="D67" s="1" t="str">
        <f>IF('PEGAR DATOS AQUI'!$D67="","","NOMBRE: "&amp;UPPER('PEGAR DATOS AQUI'!B67)&amp;" "&amp;'PEGAR DATOS AQUI'!C67&amp;" "&amp;'PEGAR DATOS AQUI'!D67)</f>
        <v/>
      </c>
      <c r="E67" s="1" t="str">
        <f>IF(D67="","","DIPLOMADO: "&amp;UPPER('PEGAR DATOS AQUI'!$G$1)&amp;"")</f>
        <v/>
      </c>
    </row>
    <row r="68" spans="1:5" ht="43.2" customHeight="1" x14ac:dyDescent="0.3">
      <c r="A68" s="6" t="str">
        <f>D35</f>
        <v/>
      </c>
      <c r="D68" s="1" t="str">
        <f>IF('PEGAR DATOS AQUI'!$D68="","","NOMBRE: "&amp;UPPER('PEGAR DATOS AQUI'!B68)&amp;" "&amp;'PEGAR DATOS AQUI'!C68&amp;" "&amp;'PEGAR DATOS AQUI'!D68)</f>
        <v/>
      </c>
      <c r="E68" s="1" t="str">
        <f>IF(D68="","","DIPLOMADO: "&amp;UPPER('PEGAR DATOS AQUI'!$G$1)&amp;"")</f>
        <v/>
      </c>
    </row>
    <row r="69" spans="1:5" ht="43.2" customHeight="1" x14ac:dyDescent="0.3">
      <c r="A69" s="7" t="str">
        <f>E35</f>
        <v/>
      </c>
      <c r="D69" s="1" t="str">
        <f>IF('PEGAR DATOS AQUI'!$D69="","","NOMBRE: "&amp;UPPER('PEGAR DATOS AQUI'!B69)&amp;" "&amp;'PEGAR DATOS AQUI'!C69&amp;" "&amp;'PEGAR DATOS AQUI'!D69)</f>
        <v/>
      </c>
      <c r="E69" s="1" t="str">
        <f>IF(D69="","","DIPLOMADO: "&amp;UPPER('PEGAR DATOS AQUI'!$G$1)&amp;"")</f>
        <v/>
      </c>
    </row>
    <row r="70" spans="1:5" ht="43.2" customHeight="1" x14ac:dyDescent="0.3">
      <c r="A70" s="6" t="str">
        <f>D36</f>
        <v/>
      </c>
      <c r="D70" s="1" t="str">
        <f>IF('PEGAR DATOS AQUI'!$D70="","","NOMBRE: "&amp;UPPER('PEGAR DATOS AQUI'!B70)&amp;" "&amp;'PEGAR DATOS AQUI'!C70&amp;" "&amp;'PEGAR DATOS AQUI'!D70)</f>
        <v/>
      </c>
      <c r="E70" s="1" t="str">
        <f>IF(D70="","","DIPLOMADO: "&amp;UPPER('PEGAR DATOS AQUI'!$G$1)&amp;"")</f>
        <v/>
      </c>
    </row>
    <row r="71" spans="1:5" ht="43.2" customHeight="1" x14ac:dyDescent="0.3">
      <c r="A71" s="7" t="str">
        <f>E36</f>
        <v/>
      </c>
      <c r="D71" s="1" t="str">
        <f>IF('PEGAR DATOS AQUI'!$D71="","","NOMBRE: "&amp;UPPER('PEGAR DATOS AQUI'!B71)&amp;" "&amp;'PEGAR DATOS AQUI'!C71&amp;" "&amp;'PEGAR DATOS AQUI'!D71)</f>
        <v/>
      </c>
      <c r="E71" s="1" t="str">
        <f>IF(D71="","","DIPLOMADO: "&amp;UPPER('PEGAR DATOS AQUI'!$G$1)&amp;"")</f>
        <v/>
      </c>
    </row>
    <row r="72" spans="1:5" ht="43.2" customHeight="1" x14ac:dyDescent="0.3">
      <c r="A72" s="6" t="str">
        <f>D37</f>
        <v/>
      </c>
      <c r="D72" s="1" t="str">
        <f>IF('PEGAR DATOS AQUI'!$D72="","","NOMBRE: "&amp;UPPER('PEGAR DATOS AQUI'!B72)&amp;" "&amp;'PEGAR DATOS AQUI'!C72&amp;" "&amp;'PEGAR DATOS AQUI'!D72)</f>
        <v/>
      </c>
      <c r="E72" s="1" t="str">
        <f>IF(D72="","","DIPLOMADO: "&amp;UPPER('PEGAR DATOS AQUI'!$G$1)&amp;"")</f>
        <v/>
      </c>
    </row>
    <row r="73" spans="1:5" ht="43.2" customHeight="1" x14ac:dyDescent="0.3">
      <c r="A73" s="7" t="str">
        <f>E37</f>
        <v/>
      </c>
      <c r="D73" s="1" t="str">
        <f>IF('PEGAR DATOS AQUI'!$D73="","","NOMBRE: "&amp;UPPER('PEGAR DATOS AQUI'!B73)&amp;" "&amp;'PEGAR DATOS AQUI'!C73&amp;" "&amp;'PEGAR DATOS AQUI'!D73)</f>
        <v/>
      </c>
      <c r="E73" s="1" t="str">
        <f>IF(D73="","","DIPLOMADO: "&amp;UPPER('PEGAR DATOS AQUI'!$G$1)&amp;"")</f>
        <v/>
      </c>
    </row>
    <row r="74" spans="1:5" ht="43.2" customHeight="1" x14ac:dyDescent="0.3">
      <c r="A74" s="6" t="str">
        <f>D38</f>
        <v/>
      </c>
      <c r="D74" s="1" t="str">
        <f>IF('PEGAR DATOS AQUI'!$D74="","","NOMBRE: "&amp;UPPER('PEGAR DATOS AQUI'!B74)&amp;" "&amp;'PEGAR DATOS AQUI'!C74&amp;" "&amp;'PEGAR DATOS AQUI'!D74)</f>
        <v/>
      </c>
      <c r="E74" s="1" t="str">
        <f>IF(D74="","","DIPLOMADO: "&amp;UPPER('PEGAR DATOS AQUI'!$G$1)&amp;"")</f>
        <v/>
      </c>
    </row>
    <row r="75" spans="1:5" ht="43.2" customHeight="1" x14ac:dyDescent="0.3">
      <c r="A75" s="7" t="str">
        <f>E38</f>
        <v/>
      </c>
      <c r="D75" s="1" t="str">
        <f>IF('PEGAR DATOS AQUI'!$D75="","","NOMBRE: "&amp;UPPER('PEGAR DATOS AQUI'!B75)&amp;" "&amp;'PEGAR DATOS AQUI'!C75&amp;" "&amp;'PEGAR DATOS AQUI'!D75)</f>
        <v/>
      </c>
      <c r="E75" s="1" t="str">
        <f>IF(D75="","","DIPLOMADO: "&amp;UPPER('PEGAR DATOS AQUI'!$G$1)&amp;"")</f>
        <v/>
      </c>
    </row>
    <row r="76" spans="1:5" ht="43.2" customHeight="1" x14ac:dyDescent="0.3">
      <c r="A76" s="6" t="str">
        <f>D39</f>
        <v/>
      </c>
      <c r="D76" s="1" t="str">
        <f>IF('PEGAR DATOS AQUI'!$D76="","","NOMBRE: "&amp;UPPER('PEGAR DATOS AQUI'!B76)&amp;" "&amp;'PEGAR DATOS AQUI'!C76&amp;" "&amp;'PEGAR DATOS AQUI'!D76)</f>
        <v/>
      </c>
      <c r="E76" s="1" t="str">
        <f>IF(D76="","","DIPLOMADO: "&amp;UPPER('PEGAR DATOS AQUI'!$G$1)&amp;"")</f>
        <v/>
      </c>
    </row>
    <row r="77" spans="1:5" ht="43.2" customHeight="1" x14ac:dyDescent="0.3">
      <c r="A77" s="7" t="str">
        <f>E39</f>
        <v/>
      </c>
      <c r="D77" s="1" t="str">
        <f>IF('PEGAR DATOS AQUI'!$D77="","","NOMBRE: "&amp;UPPER('PEGAR DATOS AQUI'!B77)&amp;" "&amp;'PEGAR DATOS AQUI'!C77&amp;" "&amp;'PEGAR DATOS AQUI'!D77)</f>
        <v/>
      </c>
      <c r="E77" s="1" t="str">
        <f>IF(D77="","","DIPLOMADO: "&amp;UPPER('PEGAR DATOS AQUI'!$G$1)&amp;"")</f>
        <v/>
      </c>
    </row>
    <row r="78" spans="1:5" ht="43.2" customHeight="1" x14ac:dyDescent="0.3">
      <c r="A78" s="6" t="str">
        <f>D40</f>
        <v/>
      </c>
      <c r="D78" s="1" t="str">
        <f>IF('PEGAR DATOS AQUI'!$D78="","","NOMBRE: "&amp;UPPER('PEGAR DATOS AQUI'!B78)&amp;" "&amp;'PEGAR DATOS AQUI'!C78&amp;" "&amp;'PEGAR DATOS AQUI'!D78)</f>
        <v/>
      </c>
      <c r="E78" s="1" t="str">
        <f>IF(D78="","","DIPLOMADO: "&amp;UPPER('PEGAR DATOS AQUI'!$G$1)&amp;"")</f>
        <v/>
      </c>
    </row>
    <row r="79" spans="1:5" ht="43.2" customHeight="1" x14ac:dyDescent="0.3">
      <c r="A79" s="7" t="str">
        <f>E40</f>
        <v/>
      </c>
      <c r="D79" s="1" t="str">
        <f>IF('PEGAR DATOS AQUI'!$D79="","","NOMBRE: "&amp;UPPER('PEGAR DATOS AQUI'!B79)&amp;" "&amp;'PEGAR DATOS AQUI'!C79&amp;" "&amp;'PEGAR DATOS AQUI'!D79)</f>
        <v/>
      </c>
      <c r="E79" s="1" t="str">
        <f>IF(D79="","","DIPLOMADO: "&amp;UPPER('PEGAR DATOS AQUI'!$G$1)&amp;"")</f>
        <v/>
      </c>
    </row>
    <row r="80" spans="1:5" ht="43.2" customHeight="1" x14ac:dyDescent="0.3">
      <c r="A80" s="6" t="str">
        <f>D41</f>
        <v/>
      </c>
      <c r="D80" s="1" t="str">
        <f>IF('PEGAR DATOS AQUI'!$D80="","","NOMBRE: "&amp;UPPER('PEGAR DATOS AQUI'!B80)&amp;" "&amp;'PEGAR DATOS AQUI'!C80&amp;" "&amp;'PEGAR DATOS AQUI'!D80)</f>
        <v/>
      </c>
      <c r="E80" s="1" t="str">
        <f>IF(D80="","","DIPLOMADO: "&amp;UPPER('PEGAR DATOS AQUI'!$G$1)&amp;"")</f>
        <v/>
      </c>
    </row>
    <row r="81" spans="1:5" ht="43.2" customHeight="1" x14ac:dyDescent="0.3">
      <c r="A81" s="7" t="str">
        <f>E41</f>
        <v/>
      </c>
      <c r="D81" s="1" t="str">
        <f>IF('PEGAR DATOS AQUI'!$D81="","","NOMBRE: "&amp;UPPER('PEGAR DATOS AQUI'!B81)&amp;" "&amp;'PEGAR DATOS AQUI'!C81&amp;" "&amp;'PEGAR DATOS AQUI'!D81)</f>
        <v/>
      </c>
      <c r="E81" s="1" t="str">
        <f>IF(D81="","","DIPLOMADO: "&amp;UPPER('PEGAR DATOS AQUI'!$G$1)&amp;"")</f>
        <v/>
      </c>
    </row>
    <row r="82" spans="1:5" ht="43.2" customHeight="1" x14ac:dyDescent="0.3">
      <c r="A82" s="6" t="str">
        <f>D42</f>
        <v/>
      </c>
      <c r="D82" s="1" t="str">
        <f>IF('PEGAR DATOS AQUI'!$D82="","","NOMBRE: "&amp;UPPER('PEGAR DATOS AQUI'!B82)&amp;" "&amp;'PEGAR DATOS AQUI'!C82&amp;" "&amp;'PEGAR DATOS AQUI'!D82)</f>
        <v/>
      </c>
      <c r="E82" s="1" t="str">
        <f>IF(D82="","","DIPLOMADO: "&amp;UPPER('PEGAR DATOS AQUI'!$G$1)&amp;"")</f>
        <v/>
      </c>
    </row>
    <row r="83" spans="1:5" ht="43.2" customHeight="1" x14ac:dyDescent="0.3">
      <c r="A83" s="7" t="str">
        <f>E42</f>
        <v/>
      </c>
      <c r="D83" s="1" t="str">
        <f>IF('PEGAR DATOS AQUI'!$D83="","","NOMBRE: "&amp;UPPER('PEGAR DATOS AQUI'!B83)&amp;" "&amp;'PEGAR DATOS AQUI'!C83&amp;" "&amp;'PEGAR DATOS AQUI'!D83)</f>
        <v/>
      </c>
      <c r="E83" s="1" t="str">
        <f>IF(D83="","","DIPLOMADO: "&amp;UPPER('PEGAR DATOS AQUI'!$G$1)&amp;"")</f>
        <v/>
      </c>
    </row>
    <row r="84" spans="1:5" ht="43.2" customHeight="1" x14ac:dyDescent="0.3">
      <c r="A84" s="6" t="str">
        <f>D43</f>
        <v/>
      </c>
      <c r="D84" s="1" t="str">
        <f>IF('PEGAR DATOS AQUI'!$D84="","","NOMBRE: "&amp;UPPER('PEGAR DATOS AQUI'!B84)&amp;" "&amp;'PEGAR DATOS AQUI'!C84&amp;" "&amp;'PEGAR DATOS AQUI'!D84)</f>
        <v/>
      </c>
      <c r="E84" s="1" t="str">
        <f>IF(D84="","","DIPLOMADO: "&amp;UPPER('PEGAR DATOS AQUI'!$G$1)&amp;"")</f>
        <v/>
      </c>
    </row>
    <row r="85" spans="1:5" ht="43.2" customHeight="1" x14ac:dyDescent="0.3">
      <c r="A85" s="7" t="str">
        <f>E43</f>
        <v/>
      </c>
      <c r="D85" s="1" t="str">
        <f>IF('PEGAR DATOS AQUI'!$D85="","","NOMBRE: "&amp;UPPER('PEGAR DATOS AQUI'!B85)&amp;" "&amp;'PEGAR DATOS AQUI'!C85&amp;" "&amp;'PEGAR DATOS AQUI'!D85)</f>
        <v/>
      </c>
      <c r="E85" s="1" t="str">
        <f>IF(D85="","","DIPLOMADO: "&amp;UPPER('PEGAR DATOS AQUI'!$G$1)&amp;"")</f>
        <v/>
      </c>
    </row>
    <row r="86" spans="1:5" ht="43.2" customHeight="1" x14ac:dyDescent="0.3">
      <c r="A86" s="6" t="str">
        <f>D44</f>
        <v/>
      </c>
      <c r="D86" s="1" t="str">
        <f>IF('PEGAR DATOS AQUI'!$D86="","","NOMBRE: "&amp;UPPER('PEGAR DATOS AQUI'!B86)&amp;" "&amp;'PEGAR DATOS AQUI'!C86&amp;" "&amp;'PEGAR DATOS AQUI'!D86)</f>
        <v/>
      </c>
      <c r="E86" s="1" t="str">
        <f>IF(D86="","","DIPLOMADO: "&amp;UPPER('PEGAR DATOS AQUI'!$G$1)&amp;"")</f>
        <v/>
      </c>
    </row>
    <row r="87" spans="1:5" ht="43.2" customHeight="1" x14ac:dyDescent="0.3">
      <c r="A87" s="7" t="str">
        <f>E44</f>
        <v/>
      </c>
      <c r="D87" s="1" t="str">
        <f>IF('PEGAR DATOS AQUI'!$D87="","","NOMBRE: "&amp;UPPER('PEGAR DATOS AQUI'!B87)&amp;" "&amp;'PEGAR DATOS AQUI'!C87&amp;" "&amp;'PEGAR DATOS AQUI'!D87)</f>
        <v/>
      </c>
      <c r="E87" s="1" t="str">
        <f>IF(D87="","","DIPLOMADO: "&amp;UPPER('PEGAR DATOS AQUI'!$G$1)&amp;"")</f>
        <v/>
      </c>
    </row>
    <row r="88" spans="1:5" ht="43.2" customHeight="1" x14ac:dyDescent="0.3">
      <c r="A88" s="6" t="str">
        <f>D45</f>
        <v/>
      </c>
      <c r="D88" s="1" t="str">
        <f>IF('PEGAR DATOS AQUI'!$D88="","","NOMBRE: "&amp;UPPER('PEGAR DATOS AQUI'!B88)&amp;" "&amp;'PEGAR DATOS AQUI'!C88&amp;" "&amp;'PEGAR DATOS AQUI'!D88)</f>
        <v/>
      </c>
      <c r="E88" s="1" t="str">
        <f>IF(D88="","","DIPLOMADO: "&amp;UPPER('PEGAR DATOS AQUI'!$G$1)&amp;"")</f>
        <v/>
      </c>
    </row>
    <row r="89" spans="1:5" ht="43.2" customHeight="1" x14ac:dyDescent="0.3">
      <c r="A89" s="7" t="str">
        <f>E45</f>
        <v/>
      </c>
      <c r="D89" s="1" t="str">
        <f>IF('PEGAR DATOS AQUI'!$D89="","","NOMBRE: "&amp;UPPER('PEGAR DATOS AQUI'!B89)&amp;" "&amp;'PEGAR DATOS AQUI'!C89&amp;" "&amp;'PEGAR DATOS AQUI'!D89)</f>
        <v/>
      </c>
      <c r="E89" s="1" t="str">
        <f>IF(D89="","","DIPLOMADO: "&amp;UPPER('PEGAR DATOS AQUI'!$G$1)&amp;"")</f>
        <v/>
      </c>
    </row>
    <row r="90" spans="1:5" ht="43.2" customHeight="1" x14ac:dyDescent="0.3">
      <c r="A90" s="6" t="str">
        <f>D46</f>
        <v/>
      </c>
      <c r="D90" s="1" t="str">
        <f>IF('PEGAR DATOS AQUI'!$D90="","","NOMBRE: "&amp;UPPER('PEGAR DATOS AQUI'!B90)&amp;" "&amp;'PEGAR DATOS AQUI'!C90&amp;" "&amp;'PEGAR DATOS AQUI'!D90)</f>
        <v/>
      </c>
      <c r="E90" s="1" t="str">
        <f>IF(D90="","","DIPLOMADO: "&amp;UPPER('PEGAR DATOS AQUI'!$G$1)&amp;"")</f>
        <v/>
      </c>
    </row>
    <row r="91" spans="1:5" ht="43.2" customHeight="1" x14ac:dyDescent="0.3">
      <c r="A91" s="7" t="str">
        <f>E46</f>
        <v/>
      </c>
      <c r="D91" s="1" t="str">
        <f>IF('PEGAR DATOS AQUI'!$D91="","","NOMBRE: "&amp;UPPER('PEGAR DATOS AQUI'!B91)&amp;" "&amp;'PEGAR DATOS AQUI'!C91&amp;" "&amp;'PEGAR DATOS AQUI'!D91)</f>
        <v/>
      </c>
      <c r="E91" s="1" t="str">
        <f>IF(D91="","","DIPLOMADO: "&amp;UPPER('PEGAR DATOS AQUI'!$G$1)&amp;"")</f>
        <v/>
      </c>
    </row>
    <row r="92" spans="1:5" ht="43.2" customHeight="1" x14ac:dyDescent="0.3">
      <c r="A92" s="6" t="str">
        <f>D47</f>
        <v/>
      </c>
      <c r="D92" s="1" t="str">
        <f>IF('PEGAR DATOS AQUI'!$D92="","","NOMBRE: "&amp;UPPER('PEGAR DATOS AQUI'!B92)&amp;" "&amp;'PEGAR DATOS AQUI'!C92&amp;" "&amp;'PEGAR DATOS AQUI'!D92)</f>
        <v/>
      </c>
      <c r="E92" s="1" t="str">
        <f>IF(D92="","","DIPLOMADO: "&amp;UPPER('PEGAR DATOS AQUI'!$G$1)&amp;"")</f>
        <v/>
      </c>
    </row>
    <row r="93" spans="1:5" ht="43.2" customHeight="1" x14ac:dyDescent="0.3">
      <c r="A93" s="7" t="str">
        <f>E47</f>
        <v/>
      </c>
      <c r="D93" s="1" t="str">
        <f>IF('PEGAR DATOS AQUI'!$D93="","","NOMBRE: "&amp;UPPER('PEGAR DATOS AQUI'!B93)&amp;" "&amp;'PEGAR DATOS AQUI'!C93&amp;" "&amp;'PEGAR DATOS AQUI'!D93)</f>
        <v/>
      </c>
      <c r="E93" s="1" t="str">
        <f>IF(D93="","","DIPLOMADO: "&amp;UPPER('PEGAR DATOS AQUI'!$G$1)&amp;"")</f>
        <v/>
      </c>
    </row>
    <row r="94" spans="1:5" ht="43.2" customHeight="1" x14ac:dyDescent="0.3">
      <c r="A94" s="6" t="str">
        <f>D48</f>
        <v/>
      </c>
      <c r="D94" s="1" t="str">
        <f>IF('PEGAR DATOS AQUI'!$D94="","","NOMBRE: "&amp;UPPER('PEGAR DATOS AQUI'!B94)&amp;" "&amp;'PEGAR DATOS AQUI'!C94&amp;" "&amp;'PEGAR DATOS AQUI'!D94)</f>
        <v/>
      </c>
      <c r="E94" s="1" t="str">
        <f>IF(D94="","","DIPLOMADO: "&amp;UPPER('PEGAR DATOS AQUI'!$G$1)&amp;"")</f>
        <v/>
      </c>
    </row>
    <row r="95" spans="1:5" ht="43.2" customHeight="1" x14ac:dyDescent="0.3">
      <c r="A95" s="7" t="str">
        <f>E48</f>
        <v/>
      </c>
      <c r="D95" s="1" t="str">
        <f>IF('PEGAR DATOS AQUI'!$D95="","","NOMBRE: "&amp;UPPER('PEGAR DATOS AQUI'!B95)&amp;" "&amp;'PEGAR DATOS AQUI'!C95&amp;" "&amp;'PEGAR DATOS AQUI'!D95)</f>
        <v/>
      </c>
      <c r="E95" s="1" t="str">
        <f>IF(D95="","","DIPLOMADO: "&amp;UPPER('PEGAR DATOS AQUI'!$G$1)&amp;"")</f>
        <v/>
      </c>
    </row>
    <row r="96" spans="1:5" ht="43.2" customHeight="1" x14ac:dyDescent="0.3">
      <c r="A96" s="6" t="str">
        <f>D49</f>
        <v/>
      </c>
      <c r="D96" s="1" t="str">
        <f>IF('PEGAR DATOS AQUI'!$D96="","","NOMBRE: "&amp;UPPER('PEGAR DATOS AQUI'!B96)&amp;" "&amp;'PEGAR DATOS AQUI'!C96&amp;" "&amp;'PEGAR DATOS AQUI'!D96)</f>
        <v/>
      </c>
      <c r="E96" s="1" t="str">
        <f>IF(D96="","","DIPLOMADO: "&amp;UPPER('PEGAR DATOS AQUI'!$G$1)&amp;"")</f>
        <v/>
      </c>
    </row>
    <row r="97" spans="1:5" ht="43.2" customHeight="1" x14ac:dyDescent="0.3">
      <c r="A97" s="7" t="str">
        <f>E49</f>
        <v/>
      </c>
      <c r="D97" s="1" t="str">
        <f>IF('PEGAR DATOS AQUI'!$D97="","","NOMBRE: "&amp;UPPER('PEGAR DATOS AQUI'!B97)&amp;" "&amp;'PEGAR DATOS AQUI'!C97&amp;" "&amp;'PEGAR DATOS AQUI'!D97)</f>
        <v/>
      </c>
      <c r="E97" s="1" t="str">
        <f>IF(D97="","","DIPLOMADO: "&amp;UPPER('PEGAR DATOS AQUI'!$G$1)&amp;"")</f>
        <v/>
      </c>
    </row>
    <row r="98" spans="1:5" ht="43.2" customHeight="1" x14ac:dyDescent="0.3">
      <c r="A98" s="6" t="str">
        <f>D50</f>
        <v/>
      </c>
      <c r="D98" s="1" t="str">
        <f>IF('PEGAR DATOS AQUI'!$D98="","","NOMBRE: "&amp;UPPER('PEGAR DATOS AQUI'!B98)&amp;" "&amp;'PEGAR DATOS AQUI'!C98&amp;" "&amp;'PEGAR DATOS AQUI'!D98)</f>
        <v/>
      </c>
      <c r="E98" s="1" t="str">
        <f>IF(D98="","","DIPLOMADO: "&amp;UPPER('PEGAR DATOS AQUI'!$G$1)&amp;"")</f>
        <v/>
      </c>
    </row>
    <row r="99" spans="1:5" ht="43.2" customHeight="1" x14ac:dyDescent="0.3">
      <c r="A99" s="7" t="str">
        <f>E50</f>
        <v/>
      </c>
      <c r="D99" s="1" t="str">
        <f>IF('PEGAR DATOS AQUI'!$D99="","","NOMBRE: "&amp;UPPER('PEGAR DATOS AQUI'!B99)&amp;" "&amp;'PEGAR DATOS AQUI'!C99&amp;" "&amp;'PEGAR DATOS AQUI'!D99)</f>
        <v/>
      </c>
      <c r="E99" s="1" t="str">
        <f>IF(D99="","","DIPLOMADO: "&amp;UPPER('PEGAR DATOS AQUI'!$G$1)&amp;"")</f>
        <v/>
      </c>
    </row>
    <row r="100" spans="1:5" ht="43.2" customHeight="1" x14ac:dyDescent="0.3">
      <c r="A100" s="6" t="str">
        <f>D51</f>
        <v/>
      </c>
      <c r="D100" s="1" t="str">
        <f>IF('PEGAR DATOS AQUI'!$D100="","","NOMBRE: "&amp;UPPER('PEGAR DATOS AQUI'!B100)&amp;" "&amp;'PEGAR DATOS AQUI'!C100&amp;" "&amp;'PEGAR DATOS AQUI'!D100)</f>
        <v/>
      </c>
      <c r="E100" s="1" t="str">
        <f>IF(D100="","","DIPLOMADO: "&amp;UPPER('PEGAR DATOS AQUI'!$G$1)&amp;"")</f>
        <v/>
      </c>
    </row>
    <row r="101" spans="1:5" ht="43.2" customHeight="1" x14ac:dyDescent="0.3">
      <c r="A101" s="7" t="str">
        <f>E51</f>
        <v/>
      </c>
      <c r="D101" s="1" t="str">
        <f>IF('PEGAR DATOS AQUI'!$D101="","","NOMBRE: "&amp;UPPER('PEGAR DATOS AQUI'!B101)&amp;" "&amp;'PEGAR DATOS AQUI'!C101&amp;" "&amp;'PEGAR DATOS AQUI'!D101)</f>
        <v/>
      </c>
      <c r="E101" s="1" t="str">
        <f>IF(D101="","","DIPLOMADO: "&amp;UPPER('PEGAR DATOS AQUI'!$G$1)&amp;"")</f>
        <v/>
      </c>
    </row>
    <row r="102" spans="1:5" ht="43.2" customHeight="1" x14ac:dyDescent="0.3">
      <c r="A102" s="6" t="str">
        <f>D52</f>
        <v/>
      </c>
      <c r="D102" s="1" t="str">
        <f>IF('PEGAR DATOS AQUI'!$D102="","","NOMBRE: "&amp;UPPER('PEGAR DATOS AQUI'!B102)&amp;" "&amp;'PEGAR DATOS AQUI'!C102&amp;" "&amp;'PEGAR DATOS AQUI'!D102)</f>
        <v/>
      </c>
      <c r="E102" s="1" t="str">
        <f>IF(D102="","","DIPLOMADO: "&amp;UPPER('PEGAR DATOS AQUI'!$G$1)&amp;"")</f>
        <v/>
      </c>
    </row>
    <row r="103" spans="1:5" ht="43.2" customHeight="1" x14ac:dyDescent="0.3">
      <c r="A103" s="7" t="str">
        <f>E52</f>
        <v/>
      </c>
      <c r="D103" s="1" t="str">
        <f>IF('PEGAR DATOS AQUI'!$D103="","","NOMBRE: "&amp;UPPER('PEGAR DATOS AQUI'!B103)&amp;" "&amp;'PEGAR DATOS AQUI'!C103&amp;" "&amp;'PEGAR DATOS AQUI'!D103)</f>
        <v/>
      </c>
      <c r="E103" s="1" t="str">
        <f>IF(D103="","","DIPLOMADO: "&amp;UPPER('PEGAR DATOS AQUI'!$G$1)&amp;"")</f>
        <v/>
      </c>
    </row>
    <row r="104" spans="1:5" ht="43.2" customHeight="1" x14ac:dyDescent="0.3">
      <c r="A104" s="6" t="str">
        <f>D53</f>
        <v/>
      </c>
      <c r="D104" s="1" t="str">
        <f>IF('PEGAR DATOS AQUI'!$D104="","","NOMBRE: "&amp;UPPER('PEGAR DATOS AQUI'!B104)&amp;" "&amp;'PEGAR DATOS AQUI'!C104&amp;" "&amp;'PEGAR DATOS AQUI'!D104)</f>
        <v/>
      </c>
      <c r="E104" s="1" t="str">
        <f>IF(D104="","","DIPLOMADO: "&amp;UPPER('PEGAR DATOS AQUI'!$G$1)&amp;"")</f>
        <v/>
      </c>
    </row>
    <row r="105" spans="1:5" ht="43.2" customHeight="1" x14ac:dyDescent="0.3">
      <c r="A105" s="7" t="str">
        <f>E53</f>
        <v/>
      </c>
      <c r="D105" s="1" t="str">
        <f>IF('PEGAR DATOS AQUI'!$D105="","","NOMBRE: "&amp;UPPER('PEGAR DATOS AQUI'!B105)&amp;" "&amp;'PEGAR DATOS AQUI'!C105&amp;" "&amp;'PEGAR DATOS AQUI'!D105)</f>
        <v/>
      </c>
      <c r="E105" s="1" t="str">
        <f>IF(D105="","","DIPLOMADO: "&amp;UPPER('PEGAR DATOS AQUI'!$G$1)&amp;"")</f>
        <v/>
      </c>
    </row>
    <row r="106" spans="1:5" ht="43.2" customHeight="1" x14ac:dyDescent="0.3">
      <c r="A106" s="6" t="str">
        <f>D54</f>
        <v/>
      </c>
      <c r="D106" s="1" t="str">
        <f>IF('PEGAR DATOS AQUI'!$D106="","","NOMBRE: "&amp;UPPER('PEGAR DATOS AQUI'!B106)&amp;" "&amp;'PEGAR DATOS AQUI'!C106&amp;" "&amp;'PEGAR DATOS AQUI'!D106)</f>
        <v/>
      </c>
      <c r="E106" s="1" t="str">
        <f>IF(D106="","","DIPLOMADO: "&amp;UPPER('PEGAR DATOS AQUI'!$G$1)&amp;"")</f>
        <v/>
      </c>
    </row>
    <row r="107" spans="1:5" ht="43.2" customHeight="1" x14ac:dyDescent="0.3">
      <c r="A107" s="7" t="str">
        <f>E54</f>
        <v/>
      </c>
      <c r="D107" s="1" t="str">
        <f>IF('PEGAR DATOS AQUI'!$D107="","","NOMBRE: "&amp;UPPER('PEGAR DATOS AQUI'!B107)&amp;" "&amp;'PEGAR DATOS AQUI'!C107&amp;" "&amp;'PEGAR DATOS AQUI'!D107)</f>
        <v/>
      </c>
      <c r="E107" s="1" t="str">
        <f>IF(D107="","","DIPLOMADO: "&amp;UPPER('PEGAR DATOS AQUI'!$G$1)&amp;"")</f>
        <v/>
      </c>
    </row>
    <row r="108" spans="1:5" ht="43.2" customHeight="1" x14ac:dyDescent="0.3">
      <c r="A108" s="6" t="str">
        <f>D55</f>
        <v/>
      </c>
      <c r="D108" s="1" t="str">
        <f>IF('PEGAR DATOS AQUI'!$D108="","","NOMBRE: "&amp;UPPER('PEGAR DATOS AQUI'!B108)&amp;" "&amp;'PEGAR DATOS AQUI'!C108&amp;" "&amp;'PEGAR DATOS AQUI'!D108)</f>
        <v/>
      </c>
      <c r="E108" s="1" t="str">
        <f>IF(D108="","","DIPLOMADO: "&amp;UPPER('PEGAR DATOS AQUI'!$G$1)&amp;"")</f>
        <v/>
      </c>
    </row>
    <row r="109" spans="1:5" ht="43.2" customHeight="1" x14ac:dyDescent="0.3">
      <c r="A109" s="7" t="str">
        <f>E55</f>
        <v/>
      </c>
      <c r="D109" s="1" t="str">
        <f>IF('PEGAR DATOS AQUI'!$D109="","","NOMBRE: "&amp;UPPER('PEGAR DATOS AQUI'!B109)&amp;" "&amp;'PEGAR DATOS AQUI'!C109&amp;" "&amp;'PEGAR DATOS AQUI'!D109)</f>
        <v/>
      </c>
      <c r="E109" s="1" t="str">
        <f>IF(D109="","","DIPLOMADO: "&amp;UPPER('PEGAR DATOS AQUI'!$G$1)&amp;"")</f>
        <v/>
      </c>
    </row>
    <row r="110" spans="1:5" ht="43.2" customHeight="1" x14ac:dyDescent="0.3">
      <c r="A110" s="6" t="str">
        <f>D56</f>
        <v/>
      </c>
      <c r="D110" s="1" t="str">
        <f>IF('PEGAR DATOS AQUI'!$D110="","","NOMBRE: "&amp;UPPER('PEGAR DATOS AQUI'!B110)&amp;" "&amp;'PEGAR DATOS AQUI'!C110&amp;" "&amp;'PEGAR DATOS AQUI'!D110)</f>
        <v/>
      </c>
      <c r="E110" s="1" t="str">
        <f>IF(D110="","","DIPLOMADO: "&amp;UPPER('PEGAR DATOS AQUI'!$G$1)&amp;"")</f>
        <v/>
      </c>
    </row>
    <row r="111" spans="1:5" ht="43.2" customHeight="1" x14ac:dyDescent="0.3">
      <c r="A111" s="7" t="str">
        <f>E56</f>
        <v/>
      </c>
      <c r="D111" s="1" t="str">
        <f>IF('PEGAR DATOS AQUI'!$D111="","","NOMBRE: "&amp;UPPER('PEGAR DATOS AQUI'!B111)&amp;" "&amp;'PEGAR DATOS AQUI'!C111&amp;" "&amp;'PEGAR DATOS AQUI'!D111)</f>
        <v/>
      </c>
      <c r="E111" s="1" t="str">
        <f>IF(D111="","","DIPLOMADO: "&amp;UPPER('PEGAR DATOS AQUI'!$G$1)&amp;"")</f>
        <v/>
      </c>
    </row>
    <row r="112" spans="1:5" ht="43.2" customHeight="1" x14ac:dyDescent="0.3">
      <c r="A112" s="6" t="str">
        <f>D57</f>
        <v/>
      </c>
      <c r="D112" s="1" t="str">
        <f>IF('PEGAR DATOS AQUI'!$D112="","","NOMBRE: "&amp;UPPER('PEGAR DATOS AQUI'!B112)&amp;" "&amp;'PEGAR DATOS AQUI'!C112&amp;" "&amp;'PEGAR DATOS AQUI'!D112)</f>
        <v/>
      </c>
      <c r="E112" s="1" t="str">
        <f>IF(D112="","","DIPLOMADO: "&amp;UPPER('PEGAR DATOS AQUI'!$G$1)&amp;"")</f>
        <v/>
      </c>
    </row>
    <row r="113" spans="1:5" ht="43.2" customHeight="1" x14ac:dyDescent="0.3">
      <c r="A113" s="7" t="str">
        <f>E57</f>
        <v/>
      </c>
      <c r="D113" s="1" t="str">
        <f>IF('PEGAR DATOS AQUI'!$D113="","","NOMBRE: "&amp;UPPER('PEGAR DATOS AQUI'!B113)&amp;" "&amp;'PEGAR DATOS AQUI'!C113&amp;" "&amp;'PEGAR DATOS AQUI'!D113)</f>
        <v/>
      </c>
      <c r="E113" s="1" t="str">
        <f>IF(D113="","","DIPLOMADO: "&amp;UPPER('PEGAR DATOS AQUI'!$G$1)&amp;"")</f>
        <v/>
      </c>
    </row>
    <row r="114" spans="1:5" ht="43.2" customHeight="1" x14ac:dyDescent="0.3">
      <c r="A114" s="6" t="str">
        <f>D58</f>
        <v/>
      </c>
      <c r="D114" s="1" t="str">
        <f>IF('PEGAR DATOS AQUI'!$D114="","","NOMBRE: "&amp;UPPER('PEGAR DATOS AQUI'!B114)&amp;" "&amp;'PEGAR DATOS AQUI'!C114&amp;" "&amp;'PEGAR DATOS AQUI'!D114)</f>
        <v/>
      </c>
      <c r="E114" s="1" t="str">
        <f>IF(D114="","","DIPLOMADO: "&amp;UPPER('PEGAR DATOS AQUI'!$G$1)&amp;"")</f>
        <v/>
      </c>
    </row>
    <row r="115" spans="1:5" ht="43.2" customHeight="1" x14ac:dyDescent="0.3">
      <c r="A115" s="7" t="str">
        <f>E58</f>
        <v/>
      </c>
      <c r="D115" s="1" t="str">
        <f>IF('PEGAR DATOS AQUI'!$D115="","","NOMBRE: "&amp;UPPER('PEGAR DATOS AQUI'!B115)&amp;" "&amp;'PEGAR DATOS AQUI'!C115&amp;" "&amp;'PEGAR DATOS AQUI'!D115)</f>
        <v/>
      </c>
      <c r="E115" s="1" t="str">
        <f>IF(D115="","","MAESTRÍA: "&amp;UPPER('PEGAR DATOS AQUI'!$G$1)&amp;"")</f>
        <v/>
      </c>
    </row>
    <row r="116" spans="1:5" ht="43.2" customHeight="1" x14ac:dyDescent="0.3">
      <c r="A116" s="6" t="str">
        <f>D59</f>
        <v/>
      </c>
      <c r="D116" s="1" t="str">
        <f>IF('PEGAR DATOS AQUI'!$D116="","","NOMBRE: "&amp;UPPER('PEGAR DATOS AQUI'!B116)&amp;" "&amp;'PEGAR DATOS AQUI'!C116&amp;" "&amp;'PEGAR DATOS AQUI'!D116)</f>
        <v/>
      </c>
      <c r="E116" s="1" t="str">
        <f>IF(D116="","","MAESTRÍA: "&amp;UPPER('PEGAR DATOS AQUI'!$G$1)&amp;"")</f>
        <v/>
      </c>
    </row>
    <row r="117" spans="1:5" ht="43.2" customHeight="1" x14ac:dyDescent="0.3">
      <c r="A117" s="7" t="str">
        <f>E59</f>
        <v/>
      </c>
      <c r="D117" s="1" t="str">
        <f>IF('PEGAR DATOS AQUI'!$D117="","","NOMBRE: "&amp;UPPER('PEGAR DATOS AQUI'!B117)&amp;" "&amp;'PEGAR DATOS AQUI'!C117&amp;" "&amp;'PEGAR DATOS AQUI'!D117)</f>
        <v/>
      </c>
      <c r="E117" s="1" t="str">
        <f>IF(D117="","","MAESTRÍA: "&amp;UPPER('PEGAR DATOS AQUI'!$G$1)&amp;"")</f>
        <v/>
      </c>
    </row>
    <row r="118" spans="1:5" ht="43.2" customHeight="1" x14ac:dyDescent="0.3">
      <c r="A118" s="6" t="str">
        <f>D60</f>
        <v/>
      </c>
      <c r="D118" s="1" t="str">
        <f>IF('PEGAR DATOS AQUI'!$D118="","","NOMBRE: "&amp;UPPER('PEGAR DATOS AQUI'!B118)&amp;" "&amp;'PEGAR DATOS AQUI'!C118&amp;" "&amp;'PEGAR DATOS AQUI'!D118)</f>
        <v/>
      </c>
      <c r="E118" s="1" t="str">
        <f>IF(D118="","","MAESTRÍA: "&amp;UPPER('PEGAR DATOS AQUI'!$G$1)&amp;"")</f>
        <v/>
      </c>
    </row>
    <row r="119" spans="1:5" ht="43.2" customHeight="1" x14ac:dyDescent="0.3">
      <c r="A119" s="7" t="str">
        <f>E60</f>
        <v/>
      </c>
      <c r="D119" s="1" t="str">
        <f>IF('PEGAR DATOS AQUI'!$D119="","","NOMBRE: "&amp;UPPER('PEGAR DATOS AQUI'!B119)&amp;" "&amp;'PEGAR DATOS AQUI'!C119&amp;" "&amp;'PEGAR DATOS AQUI'!D119)</f>
        <v/>
      </c>
      <c r="E119" s="1" t="str">
        <f>IF(D119="","","MAESTRÍA: "&amp;UPPER('PEGAR DATOS AQUI'!$G$1)&amp;"")</f>
        <v/>
      </c>
    </row>
    <row r="120" spans="1:5" ht="43.2" customHeight="1" x14ac:dyDescent="0.3">
      <c r="A120" s="6" t="str">
        <f>D61</f>
        <v/>
      </c>
      <c r="D120" s="1" t="str">
        <f>IF('PEGAR DATOS AQUI'!$D120="","","NOMBRE: "&amp;UPPER('PEGAR DATOS AQUI'!B120)&amp;" "&amp;'PEGAR DATOS AQUI'!C120&amp;" "&amp;'PEGAR DATOS AQUI'!D120)</f>
        <v/>
      </c>
      <c r="E120" s="1" t="str">
        <f>IF(D120="","","MAESTRÍA: "&amp;UPPER('PEGAR DATOS AQUI'!$G$1)&amp;"")</f>
        <v/>
      </c>
    </row>
    <row r="121" spans="1:5" ht="43.2" customHeight="1" x14ac:dyDescent="0.3">
      <c r="A121" s="7" t="str">
        <f>E61</f>
        <v/>
      </c>
      <c r="D121" s="1" t="str">
        <f>IF('PEGAR DATOS AQUI'!$D121="","","NOMBRE: "&amp;UPPER('PEGAR DATOS AQUI'!B121)&amp;" "&amp;'PEGAR DATOS AQUI'!C121&amp;" "&amp;'PEGAR DATOS AQUI'!D121)</f>
        <v/>
      </c>
      <c r="E121" s="1" t="str">
        <f>IF(D121="","","MAESTRÍA: "&amp;UPPER('PEGAR DATOS AQUI'!$G$1)&amp;"")</f>
        <v/>
      </c>
    </row>
    <row r="122" spans="1:5" ht="43.2" customHeight="1" x14ac:dyDescent="0.3">
      <c r="A122" s="6" t="str">
        <f>D62</f>
        <v/>
      </c>
      <c r="D122" s="1" t="str">
        <f>IF('PEGAR DATOS AQUI'!$D122="","","NOMBRE: "&amp;UPPER('PEGAR DATOS AQUI'!B122)&amp;" "&amp;'PEGAR DATOS AQUI'!C122&amp;" "&amp;'PEGAR DATOS AQUI'!D122)</f>
        <v/>
      </c>
      <c r="E122" s="1" t="str">
        <f>IF(D122="","","MAESTRÍA: "&amp;UPPER('PEGAR DATOS AQUI'!$G$1)&amp;"")</f>
        <v/>
      </c>
    </row>
    <row r="123" spans="1:5" ht="43.2" customHeight="1" x14ac:dyDescent="0.3">
      <c r="A123" s="7" t="str">
        <f>E62</f>
        <v/>
      </c>
      <c r="D123" s="1" t="str">
        <f>IF('PEGAR DATOS AQUI'!$D123="","","NOMBRE: "&amp;UPPER('PEGAR DATOS AQUI'!B123)&amp;" "&amp;'PEGAR DATOS AQUI'!C123&amp;" "&amp;'PEGAR DATOS AQUI'!D123)</f>
        <v/>
      </c>
      <c r="E123" s="1" t="str">
        <f>IF(D123="","","MAESTRÍA: "&amp;UPPER('PEGAR DATOS AQUI'!$G$1)&amp;"")</f>
        <v/>
      </c>
    </row>
    <row r="124" spans="1:5" ht="43.2" customHeight="1" x14ac:dyDescent="0.3">
      <c r="A124" s="6" t="str">
        <f>D63</f>
        <v/>
      </c>
      <c r="D124" s="1" t="str">
        <f>IF('PEGAR DATOS AQUI'!$D124="","","NOMBRE: "&amp;UPPER('PEGAR DATOS AQUI'!B124)&amp;" "&amp;'PEGAR DATOS AQUI'!C124&amp;" "&amp;'PEGAR DATOS AQUI'!D124)</f>
        <v/>
      </c>
      <c r="E124" s="1" t="str">
        <f>IF(D124="","","MAESTRÍA: "&amp;UPPER('PEGAR DATOS AQUI'!$G$1)&amp;"")</f>
        <v/>
      </c>
    </row>
    <row r="125" spans="1:5" ht="43.2" customHeight="1" x14ac:dyDescent="0.3">
      <c r="A125" s="7" t="str">
        <f>E63</f>
        <v/>
      </c>
      <c r="D125" s="1" t="str">
        <f>IF('PEGAR DATOS AQUI'!$D125="","","NOMBRE: "&amp;UPPER('PEGAR DATOS AQUI'!B125)&amp;" "&amp;'PEGAR DATOS AQUI'!C125&amp;" "&amp;'PEGAR DATOS AQUI'!D125)</f>
        <v/>
      </c>
      <c r="E125" s="1" t="str">
        <f>IF(D125="","","MAESTRÍA: "&amp;UPPER('PEGAR DATOS AQUI'!$G$1)&amp;"")</f>
        <v/>
      </c>
    </row>
    <row r="126" spans="1:5" ht="43.2" customHeight="1" x14ac:dyDescent="0.3">
      <c r="A126" s="6" t="str">
        <f>D64</f>
        <v/>
      </c>
      <c r="D126" s="1" t="str">
        <f>IF('PEGAR DATOS AQUI'!$D126="","","NOMBRE: "&amp;UPPER('PEGAR DATOS AQUI'!B126)&amp;" "&amp;'PEGAR DATOS AQUI'!C126&amp;" "&amp;'PEGAR DATOS AQUI'!D126)</f>
        <v/>
      </c>
      <c r="E126" s="1" t="str">
        <f>IF(D126="","","MAESTRÍA: "&amp;UPPER('PEGAR DATOS AQUI'!$G$1)&amp;"")</f>
        <v/>
      </c>
    </row>
    <row r="127" spans="1:5" ht="43.2" customHeight="1" x14ac:dyDescent="0.3">
      <c r="A127" s="7" t="str">
        <f>E64</f>
        <v/>
      </c>
      <c r="D127" s="1" t="str">
        <f>IF('PEGAR DATOS AQUI'!$D127="","","NOMBRE: "&amp;UPPER('PEGAR DATOS AQUI'!B127)&amp;" "&amp;'PEGAR DATOS AQUI'!C127&amp;" "&amp;'PEGAR DATOS AQUI'!D127)</f>
        <v/>
      </c>
      <c r="E127" s="1" t="str">
        <f>IF(D127="","","MAESTRÍA: "&amp;UPPER('PEGAR DATOS AQUI'!$G$1)&amp;"")</f>
        <v/>
      </c>
    </row>
    <row r="128" spans="1:5" ht="43.2" customHeight="1" x14ac:dyDescent="0.3">
      <c r="A128" s="6" t="str">
        <f>D65</f>
        <v/>
      </c>
      <c r="D128" s="1" t="str">
        <f>IF('PEGAR DATOS AQUI'!$D128="","","NOMBRE: "&amp;UPPER('PEGAR DATOS AQUI'!B128)&amp;" "&amp;'PEGAR DATOS AQUI'!C128&amp;" "&amp;'PEGAR DATOS AQUI'!D128)</f>
        <v/>
      </c>
      <c r="E128" s="1" t="str">
        <f>IF(D128="","","MAESTRÍA: "&amp;UPPER('PEGAR DATOS AQUI'!$G$1)&amp;"")</f>
        <v/>
      </c>
    </row>
    <row r="129" spans="1:5" ht="43.2" customHeight="1" x14ac:dyDescent="0.3">
      <c r="A129" s="7" t="str">
        <f>E65</f>
        <v/>
      </c>
      <c r="D129" s="1" t="str">
        <f>IF('PEGAR DATOS AQUI'!$D129="","","NOMBRE: "&amp;UPPER('PEGAR DATOS AQUI'!B129)&amp;" "&amp;'PEGAR DATOS AQUI'!C129&amp;" "&amp;'PEGAR DATOS AQUI'!D129)</f>
        <v/>
      </c>
      <c r="E129" s="1" t="str">
        <f>IF(D129="","","MAESTRÍA: "&amp;UPPER('PEGAR DATOS AQUI'!$G$1)&amp;"")</f>
        <v/>
      </c>
    </row>
    <row r="130" spans="1:5" ht="43.2" customHeight="1" x14ac:dyDescent="0.3">
      <c r="A130" s="6" t="str">
        <f>D66</f>
        <v/>
      </c>
      <c r="D130" s="1" t="str">
        <f>IF('PEGAR DATOS AQUI'!$D130="","","NOMBRE: "&amp;UPPER('PEGAR DATOS AQUI'!B130)&amp;" "&amp;'PEGAR DATOS AQUI'!C130&amp;" "&amp;'PEGAR DATOS AQUI'!D130)</f>
        <v/>
      </c>
      <c r="E130" s="1" t="str">
        <f>IF(D130="","","MAESTRÍA: "&amp;UPPER('PEGAR DATOS AQUI'!$G$1)&amp;"")</f>
        <v/>
      </c>
    </row>
    <row r="131" spans="1:5" ht="43.2" customHeight="1" x14ac:dyDescent="0.3">
      <c r="A131" s="7" t="str">
        <f>E66</f>
        <v/>
      </c>
      <c r="D131" s="1" t="str">
        <f>IF('PEGAR DATOS AQUI'!$D131="","","NOMBRE: "&amp;UPPER('PEGAR DATOS AQUI'!B131)&amp;" "&amp;'PEGAR DATOS AQUI'!C131&amp;" "&amp;'PEGAR DATOS AQUI'!D131)</f>
        <v/>
      </c>
      <c r="E131" s="1" t="str">
        <f>IF(D131="","","MAESTRÍA: "&amp;UPPER('PEGAR DATOS AQUI'!$G$1)&amp;"")</f>
        <v/>
      </c>
    </row>
    <row r="132" spans="1:5" ht="43.2" customHeight="1" x14ac:dyDescent="0.3">
      <c r="A132" s="6" t="str">
        <f>D67</f>
        <v/>
      </c>
      <c r="D132" s="1" t="str">
        <f>IF('PEGAR DATOS AQUI'!$D132="","","NOMBRE: "&amp;UPPER('PEGAR DATOS AQUI'!B132)&amp;" "&amp;'PEGAR DATOS AQUI'!C132&amp;" "&amp;'PEGAR DATOS AQUI'!D132)</f>
        <v/>
      </c>
      <c r="E132" s="1" t="str">
        <f>IF(D132="","","MAESTRÍA: "&amp;UPPER('PEGAR DATOS AQUI'!$G$1)&amp;"")</f>
        <v/>
      </c>
    </row>
    <row r="133" spans="1:5" ht="43.2" customHeight="1" x14ac:dyDescent="0.3">
      <c r="A133" s="7" t="str">
        <f>E67</f>
        <v/>
      </c>
      <c r="D133" s="1" t="str">
        <f>IF('PEGAR DATOS AQUI'!$D133="","","NOMBRE: "&amp;UPPER('PEGAR DATOS AQUI'!B133)&amp;" "&amp;'PEGAR DATOS AQUI'!C133&amp;" "&amp;'PEGAR DATOS AQUI'!D133)</f>
        <v/>
      </c>
      <c r="E133" s="1" t="str">
        <f>IF(D133="","","MAESTRÍA: "&amp;UPPER('PEGAR DATOS AQUI'!$G$1)&amp;"")</f>
        <v/>
      </c>
    </row>
    <row r="134" spans="1:5" ht="43.2" customHeight="1" x14ac:dyDescent="0.3">
      <c r="A134" s="6" t="str">
        <f>D68</f>
        <v/>
      </c>
      <c r="D134" s="1" t="str">
        <f>IF('PEGAR DATOS AQUI'!$D134="","","NOMBRE: "&amp;UPPER('PEGAR DATOS AQUI'!B134)&amp;" "&amp;'PEGAR DATOS AQUI'!C134&amp;" "&amp;'PEGAR DATOS AQUI'!D134)</f>
        <v/>
      </c>
      <c r="E134" s="1" t="str">
        <f>IF(D134="","","MAESTRÍA: "&amp;UPPER('PEGAR DATOS AQUI'!$G$1)&amp;"")</f>
        <v/>
      </c>
    </row>
    <row r="135" spans="1:5" ht="43.2" customHeight="1" x14ac:dyDescent="0.3">
      <c r="A135" s="7" t="str">
        <f>E68</f>
        <v/>
      </c>
      <c r="D135" s="1" t="str">
        <f>IF('PEGAR DATOS AQUI'!$D135="","","NOMBRE: "&amp;UPPER('PEGAR DATOS AQUI'!B135)&amp;" "&amp;'PEGAR DATOS AQUI'!C135&amp;" "&amp;'PEGAR DATOS AQUI'!D135)</f>
        <v/>
      </c>
      <c r="E135" s="1" t="str">
        <f>IF(D135="","","MAESTRÍA: "&amp;UPPER('PEGAR DATOS AQUI'!$G$1)&amp;"")</f>
        <v/>
      </c>
    </row>
    <row r="136" spans="1:5" ht="43.2" customHeight="1" x14ac:dyDescent="0.3">
      <c r="A136" s="6" t="str">
        <f>D69</f>
        <v/>
      </c>
      <c r="D136" s="1" t="str">
        <f>IF('PEGAR DATOS AQUI'!$D136="","","NOMBRE: "&amp;UPPER('PEGAR DATOS AQUI'!B136)&amp;" "&amp;'PEGAR DATOS AQUI'!C136&amp;" "&amp;'PEGAR DATOS AQUI'!D136)</f>
        <v/>
      </c>
      <c r="E136" s="1" t="str">
        <f>IF(D136="","","MAESTRÍA: "&amp;UPPER('PEGAR DATOS AQUI'!$G$1)&amp;"")</f>
        <v/>
      </c>
    </row>
    <row r="137" spans="1:5" ht="43.2" customHeight="1" x14ac:dyDescent="0.3">
      <c r="A137" s="7" t="str">
        <f>E69</f>
        <v/>
      </c>
      <c r="D137" s="1" t="str">
        <f>IF('PEGAR DATOS AQUI'!$D137="","","NOMBRE: "&amp;UPPER('PEGAR DATOS AQUI'!B137)&amp;" "&amp;'PEGAR DATOS AQUI'!C137&amp;" "&amp;'PEGAR DATOS AQUI'!D137)</f>
        <v/>
      </c>
      <c r="E137" s="1" t="str">
        <f>IF(D137="","","MAESTRÍA: "&amp;UPPER('PEGAR DATOS AQUI'!$G$1)&amp;"")</f>
        <v/>
      </c>
    </row>
    <row r="138" spans="1:5" ht="43.2" customHeight="1" x14ac:dyDescent="0.3">
      <c r="A138" s="6" t="str">
        <f>D70</f>
        <v/>
      </c>
      <c r="D138" s="1" t="str">
        <f>IF('PEGAR DATOS AQUI'!$D138="","","NOMBRE: "&amp;UPPER('PEGAR DATOS AQUI'!B138)&amp;" "&amp;'PEGAR DATOS AQUI'!C138&amp;" "&amp;'PEGAR DATOS AQUI'!D138)</f>
        <v/>
      </c>
      <c r="E138" s="1" t="str">
        <f>IF(D138="","","MAESTRÍA: "&amp;UPPER('PEGAR DATOS AQUI'!$G$1)&amp;"")</f>
        <v/>
      </c>
    </row>
    <row r="139" spans="1:5" ht="43.2" customHeight="1" x14ac:dyDescent="0.3">
      <c r="A139" s="7" t="str">
        <f>E70</f>
        <v/>
      </c>
      <c r="D139" s="1" t="str">
        <f>IF('PEGAR DATOS AQUI'!$D139="","","NOMBRE: "&amp;UPPER('PEGAR DATOS AQUI'!B139)&amp;" "&amp;'PEGAR DATOS AQUI'!C139&amp;" "&amp;'PEGAR DATOS AQUI'!D139)</f>
        <v/>
      </c>
      <c r="E139" s="1" t="str">
        <f>IF(D139="","","MAESTRÍA: "&amp;UPPER('PEGAR DATOS AQUI'!$G$1)&amp;"")</f>
        <v/>
      </c>
    </row>
    <row r="140" spans="1:5" ht="43.2" customHeight="1" x14ac:dyDescent="0.3">
      <c r="A140" s="6" t="str">
        <f>D71</f>
        <v/>
      </c>
      <c r="D140" s="1" t="str">
        <f>IF('PEGAR DATOS AQUI'!$D140="","","NOMBRE: "&amp;UPPER('PEGAR DATOS AQUI'!B140)&amp;" "&amp;'PEGAR DATOS AQUI'!C140&amp;" "&amp;'PEGAR DATOS AQUI'!D140)</f>
        <v/>
      </c>
      <c r="E140" s="1" t="str">
        <f>IF(D140="","","MAESTRÍA: "&amp;UPPER('PEGAR DATOS AQUI'!$G$1)&amp;"")</f>
        <v/>
      </c>
    </row>
    <row r="141" spans="1:5" ht="43.2" customHeight="1" x14ac:dyDescent="0.3">
      <c r="A141" s="7" t="str">
        <f>E71</f>
        <v/>
      </c>
      <c r="D141" s="1" t="str">
        <f>IF('PEGAR DATOS AQUI'!$D141="","","NOMBRE: "&amp;UPPER('PEGAR DATOS AQUI'!B141)&amp;" "&amp;'PEGAR DATOS AQUI'!C141&amp;" "&amp;'PEGAR DATOS AQUI'!D141)</f>
        <v/>
      </c>
      <c r="E141" s="1" t="str">
        <f>IF(D141="","","MAESTRÍA: "&amp;UPPER('PEGAR DATOS AQUI'!$G$1)&amp;"")</f>
        <v/>
      </c>
    </row>
    <row r="142" spans="1:5" ht="43.2" customHeight="1" x14ac:dyDescent="0.3">
      <c r="A142" s="6" t="str">
        <f>D72</f>
        <v/>
      </c>
      <c r="D142" s="1" t="str">
        <f>IF('PEGAR DATOS AQUI'!$D142="","","NOMBRE: "&amp;UPPER('PEGAR DATOS AQUI'!B142)&amp;" "&amp;'PEGAR DATOS AQUI'!C142&amp;" "&amp;'PEGAR DATOS AQUI'!D142)</f>
        <v/>
      </c>
      <c r="E142" s="1" t="str">
        <f>IF(D142="","","MAESTRÍA: "&amp;UPPER('PEGAR DATOS AQUI'!$G$1)&amp;"")</f>
        <v/>
      </c>
    </row>
    <row r="143" spans="1:5" ht="43.2" customHeight="1" x14ac:dyDescent="0.3">
      <c r="A143" s="7" t="str">
        <f>E72</f>
        <v/>
      </c>
      <c r="D143" s="1" t="str">
        <f>IF('PEGAR DATOS AQUI'!$D143="","","NOMBRE: "&amp;UPPER('PEGAR DATOS AQUI'!B143)&amp;" "&amp;'PEGAR DATOS AQUI'!C143&amp;" "&amp;'PEGAR DATOS AQUI'!D143)</f>
        <v/>
      </c>
      <c r="E143" s="1" t="str">
        <f>IF(D143="","","MAESTRÍA: "&amp;UPPER('PEGAR DATOS AQUI'!$G$1)&amp;"")</f>
        <v/>
      </c>
    </row>
    <row r="144" spans="1:5" ht="43.2" customHeight="1" x14ac:dyDescent="0.3">
      <c r="A144" s="6" t="str">
        <f>D73</f>
        <v/>
      </c>
      <c r="D144" s="1" t="str">
        <f>IF('PEGAR DATOS AQUI'!$D144="","","NOMBRE: "&amp;UPPER('PEGAR DATOS AQUI'!B144)&amp;" "&amp;'PEGAR DATOS AQUI'!C144&amp;" "&amp;'PEGAR DATOS AQUI'!D144)</f>
        <v/>
      </c>
      <c r="E144" s="1" t="str">
        <f>IF(D144="","","MAESTRÍA: "&amp;UPPER('PEGAR DATOS AQUI'!$G$1)&amp;"")</f>
        <v/>
      </c>
    </row>
    <row r="145" spans="1:5" ht="43.2" customHeight="1" x14ac:dyDescent="0.3">
      <c r="A145" s="7" t="str">
        <f>E73</f>
        <v/>
      </c>
      <c r="D145" s="1" t="str">
        <f>IF('PEGAR DATOS AQUI'!$D145="","","NOMBRE: "&amp;UPPER('PEGAR DATOS AQUI'!B145)&amp;" "&amp;'PEGAR DATOS AQUI'!C145&amp;" "&amp;'PEGAR DATOS AQUI'!D145)</f>
        <v/>
      </c>
      <c r="E145" s="1" t="str">
        <f>IF(D145="","","MAESTRÍA: "&amp;UPPER('PEGAR DATOS AQUI'!$G$1)&amp;"")</f>
        <v/>
      </c>
    </row>
    <row r="146" spans="1:5" ht="43.2" customHeight="1" x14ac:dyDescent="0.3">
      <c r="A146" s="6" t="str">
        <f>D74</f>
        <v/>
      </c>
    </row>
    <row r="147" spans="1:5" ht="43.2" customHeight="1" x14ac:dyDescent="0.3">
      <c r="A147" s="7" t="str">
        <f>E74</f>
        <v/>
      </c>
    </row>
    <row r="148" spans="1:5" ht="43.2" customHeight="1" x14ac:dyDescent="0.3">
      <c r="A148" s="6" t="str">
        <f>D75</f>
        <v/>
      </c>
    </row>
    <row r="149" spans="1:5" ht="43.2" customHeight="1" x14ac:dyDescent="0.3">
      <c r="A149" s="7" t="str">
        <f>E75</f>
        <v/>
      </c>
    </row>
    <row r="150" spans="1:5" ht="43.2" customHeight="1" x14ac:dyDescent="0.3">
      <c r="A150" s="6" t="str">
        <f>D76</f>
        <v/>
      </c>
    </row>
    <row r="151" spans="1:5" ht="43.2" customHeight="1" x14ac:dyDescent="0.3">
      <c r="A151" s="7" t="str">
        <f>E76</f>
        <v/>
      </c>
    </row>
    <row r="152" spans="1:5" ht="43.2" customHeight="1" x14ac:dyDescent="0.3">
      <c r="A152" s="6" t="str">
        <f>D77</f>
        <v/>
      </c>
    </row>
    <row r="153" spans="1:5" ht="43.2" customHeight="1" x14ac:dyDescent="0.3">
      <c r="A153" s="7" t="str">
        <f>E77</f>
        <v/>
      </c>
    </row>
    <row r="154" spans="1:5" ht="43.2" customHeight="1" x14ac:dyDescent="0.3">
      <c r="A154" s="6" t="str">
        <f>D78</f>
        <v/>
      </c>
    </row>
    <row r="155" spans="1:5" ht="43.2" customHeight="1" x14ac:dyDescent="0.3">
      <c r="A155" s="7" t="str">
        <f>E78</f>
        <v/>
      </c>
    </row>
    <row r="156" spans="1:5" ht="43.2" customHeight="1" x14ac:dyDescent="0.3">
      <c r="A156" s="6" t="str">
        <f>D79</f>
        <v/>
      </c>
    </row>
    <row r="157" spans="1:5" ht="43.2" customHeight="1" x14ac:dyDescent="0.3">
      <c r="A157" s="7" t="str">
        <f>E79</f>
        <v/>
      </c>
    </row>
    <row r="158" spans="1:5" ht="43.2" customHeight="1" x14ac:dyDescent="0.3">
      <c r="A158" s="6" t="str">
        <f>D80</f>
        <v/>
      </c>
    </row>
    <row r="159" spans="1:5" ht="43.2" customHeight="1" x14ac:dyDescent="0.3">
      <c r="A159" s="7" t="str">
        <f>E80</f>
        <v/>
      </c>
    </row>
    <row r="160" spans="1:5" ht="43.2" customHeight="1" x14ac:dyDescent="0.3">
      <c r="A160" s="6" t="str">
        <f>D81</f>
        <v/>
      </c>
    </row>
    <row r="161" spans="1:1" ht="43.2" customHeight="1" x14ac:dyDescent="0.3">
      <c r="A161" s="7" t="str">
        <f>E81</f>
        <v/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D7F3-D075-4527-ACE4-3FBE8C3BA7B4}">
  <dimension ref="A1:G34"/>
  <sheetViews>
    <sheetView tabSelected="1" workbookViewId="0">
      <selection activeCell="B4" sqref="B4"/>
    </sheetView>
  </sheetViews>
  <sheetFormatPr baseColWidth="10" defaultRowHeight="14.4" x14ac:dyDescent="0.3"/>
  <cols>
    <col min="1" max="1" width="8.6640625" customWidth="1"/>
    <col min="2" max="2" width="36.6640625" customWidth="1"/>
    <col min="3" max="3" width="18.33203125" customWidth="1"/>
    <col min="4" max="4" width="22.44140625" customWidth="1"/>
    <col min="7" max="7" width="38.5546875" customWidth="1"/>
  </cols>
  <sheetData>
    <row r="1" spans="1:7" ht="28.8" x14ac:dyDescent="0.3">
      <c r="A1" s="23" t="s">
        <v>1</v>
      </c>
      <c r="B1" s="24" t="s">
        <v>2</v>
      </c>
      <c r="C1" s="24" t="s">
        <v>3</v>
      </c>
      <c r="D1" s="24" t="s">
        <v>4</v>
      </c>
      <c r="F1" s="2" t="s">
        <v>26</v>
      </c>
      <c r="G1" s="3" t="s">
        <v>121</v>
      </c>
    </row>
    <row r="2" spans="1:7" x14ac:dyDescent="0.3">
      <c r="A2" s="25">
        <v>1</v>
      </c>
      <c r="B2" s="26" t="s">
        <v>122</v>
      </c>
      <c r="C2" s="26" t="s">
        <v>120</v>
      </c>
      <c r="D2" s="27" t="s">
        <v>120</v>
      </c>
      <c r="F2" t="s">
        <v>5</v>
      </c>
    </row>
    <row r="3" spans="1:7" x14ac:dyDescent="0.3">
      <c r="A3" s="25">
        <v>2</v>
      </c>
      <c r="B3" s="26" t="s">
        <v>123</v>
      </c>
      <c r="C3" s="26" t="s">
        <v>120</v>
      </c>
      <c r="D3" s="27" t="s">
        <v>120</v>
      </c>
      <c r="F3" t="s">
        <v>5</v>
      </c>
      <c r="G3" s="4"/>
    </row>
    <row r="4" spans="1:7" x14ac:dyDescent="0.3">
      <c r="A4" s="25">
        <v>3</v>
      </c>
      <c r="B4" s="26" t="s">
        <v>124</v>
      </c>
      <c r="C4" s="26" t="s">
        <v>120</v>
      </c>
      <c r="D4" s="27" t="s">
        <v>120</v>
      </c>
      <c r="F4" t="s">
        <v>5</v>
      </c>
      <c r="G4" s="4"/>
    </row>
    <row r="5" spans="1:7" x14ac:dyDescent="0.3">
      <c r="A5" s="25">
        <v>4</v>
      </c>
      <c r="B5" s="26"/>
      <c r="C5" s="26" t="s">
        <v>120</v>
      </c>
      <c r="D5" s="27" t="s">
        <v>120</v>
      </c>
      <c r="F5" t="s">
        <v>5</v>
      </c>
    </row>
    <row r="6" spans="1:7" x14ac:dyDescent="0.3">
      <c r="A6" s="25">
        <v>5</v>
      </c>
      <c r="B6" s="26"/>
      <c r="C6" s="27" t="s">
        <v>120</v>
      </c>
      <c r="D6" s="27" t="s">
        <v>120</v>
      </c>
      <c r="F6" t="s">
        <v>5</v>
      </c>
    </row>
    <row r="7" spans="1:7" x14ac:dyDescent="0.3">
      <c r="A7" s="25">
        <v>6</v>
      </c>
      <c r="B7" s="26"/>
      <c r="C7" s="27" t="s">
        <v>120</v>
      </c>
      <c r="D7" s="27" t="s">
        <v>120</v>
      </c>
      <c r="F7" t="s">
        <v>5</v>
      </c>
    </row>
    <row r="8" spans="1:7" x14ac:dyDescent="0.3">
      <c r="A8" s="25">
        <v>7</v>
      </c>
      <c r="B8" s="26"/>
      <c r="C8" s="27" t="s">
        <v>120</v>
      </c>
      <c r="D8" s="27" t="s">
        <v>120</v>
      </c>
      <c r="F8" t="s">
        <v>5</v>
      </c>
    </row>
    <row r="9" spans="1:7" x14ac:dyDescent="0.3">
      <c r="A9" s="25">
        <v>8</v>
      </c>
      <c r="B9" s="26"/>
      <c r="C9" s="27" t="s">
        <v>120</v>
      </c>
      <c r="D9" s="27" t="s">
        <v>120</v>
      </c>
    </row>
    <row r="10" spans="1:7" x14ac:dyDescent="0.3">
      <c r="A10" s="25">
        <v>9</v>
      </c>
      <c r="B10" s="26"/>
      <c r="C10" s="27" t="s">
        <v>120</v>
      </c>
      <c r="D10" s="27" t="s">
        <v>120</v>
      </c>
    </row>
    <row r="11" spans="1:7" x14ac:dyDescent="0.3">
      <c r="A11" s="25">
        <v>10</v>
      </c>
      <c r="B11" s="26"/>
      <c r="C11" s="27" t="s">
        <v>120</v>
      </c>
      <c r="D11" s="27" t="s">
        <v>120</v>
      </c>
    </row>
    <row r="12" spans="1:7" x14ac:dyDescent="0.3">
      <c r="A12" s="25">
        <v>11</v>
      </c>
      <c r="B12" s="26"/>
      <c r="C12" s="27" t="s">
        <v>120</v>
      </c>
      <c r="D12" s="27" t="s">
        <v>120</v>
      </c>
    </row>
    <row r="13" spans="1:7" x14ac:dyDescent="0.3">
      <c r="A13" s="25">
        <v>12</v>
      </c>
      <c r="B13" s="26"/>
      <c r="C13" s="27" t="s">
        <v>120</v>
      </c>
      <c r="D13" s="27" t="s">
        <v>120</v>
      </c>
    </row>
    <row r="14" spans="1:7" x14ac:dyDescent="0.3">
      <c r="A14" s="25">
        <v>13</v>
      </c>
      <c r="B14" s="26"/>
      <c r="C14" s="27" t="s">
        <v>120</v>
      </c>
      <c r="D14" s="27" t="s">
        <v>120</v>
      </c>
    </row>
    <row r="15" spans="1:7" x14ac:dyDescent="0.3">
      <c r="A15" s="25">
        <v>14</v>
      </c>
      <c r="B15" s="26"/>
      <c r="C15" s="27" t="s">
        <v>120</v>
      </c>
      <c r="D15" s="27" t="s">
        <v>120</v>
      </c>
    </row>
    <row r="16" spans="1:7" x14ac:dyDescent="0.3">
      <c r="A16" s="25">
        <v>15</v>
      </c>
      <c r="B16" s="26"/>
      <c r="C16" s="27" t="s">
        <v>120</v>
      </c>
      <c r="D16" s="27" t="s">
        <v>120</v>
      </c>
    </row>
    <row r="17" spans="1:4" x14ac:dyDescent="0.3">
      <c r="A17" s="25">
        <v>16</v>
      </c>
      <c r="B17" s="26"/>
      <c r="C17" s="27" t="s">
        <v>120</v>
      </c>
      <c r="D17" s="27" t="s">
        <v>120</v>
      </c>
    </row>
    <row r="18" spans="1:4" x14ac:dyDescent="0.3">
      <c r="A18" s="25">
        <v>17</v>
      </c>
      <c r="B18" s="26"/>
      <c r="C18" s="27" t="s">
        <v>120</v>
      </c>
      <c r="D18" s="27" t="s">
        <v>120</v>
      </c>
    </row>
    <row r="19" spans="1:4" x14ac:dyDescent="0.3">
      <c r="A19" s="25">
        <v>18</v>
      </c>
      <c r="B19" s="26"/>
      <c r="C19" s="27" t="s">
        <v>120</v>
      </c>
      <c r="D19" s="27" t="s">
        <v>120</v>
      </c>
    </row>
    <row r="20" spans="1:4" x14ac:dyDescent="0.3">
      <c r="A20" s="25">
        <v>19</v>
      </c>
      <c r="B20" s="26"/>
      <c r="C20" s="27" t="s">
        <v>120</v>
      </c>
      <c r="D20" s="27" t="s">
        <v>120</v>
      </c>
    </row>
    <row r="21" spans="1:4" x14ac:dyDescent="0.3">
      <c r="A21" s="25">
        <v>20</v>
      </c>
      <c r="B21" s="26"/>
      <c r="C21" s="27" t="s">
        <v>120</v>
      </c>
      <c r="D21" s="27" t="s">
        <v>120</v>
      </c>
    </row>
    <row r="22" spans="1:4" x14ac:dyDescent="0.3">
      <c r="A22" s="25">
        <v>21</v>
      </c>
      <c r="B22" s="26"/>
      <c r="C22" s="27" t="s">
        <v>120</v>
      </c>
      <c r="D22" s="27" t="s">
        <v>120</v>
      </c>
    </row>
    <row r="23" spans="1:4" x14ac:dyDescent="0.3">
      <c r="A23" s="25">
        <v>22</v>
      </c>
      <c r="B23" s="26"/>
      <c r="C23" s="27" t="s">
        <v>120</v>
      </c>
      <c r="D23" s="27" t="s">
        <v>120</v>
      </c>
    </row>
    <row r="24" spans="1:4" x14ac:dyDescent="0.3">
      <c r="A24" s="25">
        <v>23</v>
      </c>
      <c r="B24" s="26"/>
      <c r="C24" s="27" t="s">
        <v>120</v>
      </c>
      <c r="D24" s="27" t="s">
        <v>120</v>
      </c>
    </row>
    <row r="25" spans="1:4" x14ac:dyDescent="0.3">
      <c r="A25" s="25">
        <v>24</v>
      </c>
      <c r="B25" s="26"/>
      <c r="C25" s="27" t="s">
        <v>120</v>
      </c>
      <c r="D25" s="27" t="s">
        <v>120</v>
      </c>
    </row>
    <row r="26" spans="1:4" x14ac:dyDescent="0.3">
      <c r="A26" s="25">
        <v>25</v>
      </c>
      <c r="B26" s="26"/>
      <c r="C26" s="27" t="s">
        <v>120</v>
      </c>
      <c r="D26" s="27" t="s">
        <v>120</v>
      </c>
    </row>
    <row r="27" spans="1:4" x14ac:dyDescent="0.3">
      <c r="A27" s="25">
        <v>26</v>
      </c>
      <c r="B27" s="26"/>
      <c r="C27" s="27" t="s">
        <v>120</v>
      </c>
      <c r="D27" s="27" t="s">
        <v>120</v>
      </c>
    </row>
    <row r="28" spans="1:4" x14ac:dyDescent="0.3">
      <c r="A28" s="25">
        <v>27</v>
      </c>
      <c r="B28" s="26"/>
      <c r="C28" s="27" t="s">
        <v>120</v>
      </c>
      <c r="D28" s="27" t="s">
        <v>120</v>
      </c>
    </row>
    <row r="29" spans="1:4" x14ac:dyDescent="0.3">
      <c r="A29" s="25">
        <v>28</v>
      </c>
      <c r="B29" s="26"/>
      <c r="C29" s="27" t="s">
        <v>120</v>
      </c>
      <c r="D29" s="27" t="s">
        <v>120</v>
      </c>
    </row>
    <row r="30" spans="1:4" ht="15" thickBot="1" x14ac:dyDescent="0.35">
      <c r="A30" s="25">
        <v>29</v>
      </c>
      <c r="B30" s="28"/>
      <c r="C30" s="27" t="s">
        <v>120</v>
      </c>
      <c r="D30" s="27" t="s">
        <v>120</v>
      </c>
    </row>
    <row r="31" spans="1:4" ht="15" thickBot="1" x14ac:dyDescent="0.35">
      <c r="A31" s="25">
        <v>30</v>
      </c>
      <c r="B31" s="34"/>
      <c r="C31" s="27" t="s">
        <v>120</v>
      </c>
      <c r="D31" s="27" t="s">
        <v>120</v>
      </c>
    </row>
    <row r="32" spans="1:4" ht="15" thickBot="1" x14ac:dyDescent="0.35">
      <c r="A32" s="25">
        <v>31</v>
      </c>
      <c r="B32" s="34"/>
      <c r="C32" s="27" t="s">
        <v>120</v>
      </c>
      <c r="D32" s="27" t="s">
        <v>120</v>
      </c>
    </row>
    <row r="33" spans="1:4" ht="15" thickBot="1" x14ac:dyDescent="0.35">
      <c r="A33" s="25">
        <v>32</v>
      </c>
      <c r="B33" s="33"/>
      <c r="C33" s="27" t="s">
        <v>120</v>
      </c>
      <c r="D33" s="27" t="s">
        <v>120</v>
      </c>
    </row>
    <row r="34" spans="1:4" x14ac:dyDescent="0.3">
      <c r="A34" s="25">
        <v>33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1A76-75E9-438B-939A-7BB4F745B879}">
  <dimension ref="A1:M31"/>
  <sheetViews>
    <sheetView topLeftCell="A21" workbookViewId="0">
      <selection activeCell="C31" sqref="A2:C31"/>
    </sheetView>
  </sheetViews>
  <sheetFormatPr baseColWidth="10" defaultRowHeight="14.4" x14ac:dyDescent="0.3"/>
  <sheetData>
    <row r="1" spans="1:13" ht="115.8" thickBot="1" x14ac:dyDescent="0.35">
      <c r="A1" s="10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12" t="s">
        <v>15</v>
      </c>
    </row>
    <row r="2" spans="1:13" ht="15" thickBot="1" x14ac:dyDescent="0.35">
      <c r="A2" s="29" t="s">
        <v>16</v>
      </c>
      <c r="B2" s="30" t="s">
        <v>29</v>
      </c>
      <c r="C2" s="30" t="s">
        <v>90</v>
      </c>
      <c r="D2" s="31"/>
      <c r="E2" s="32">
        <v>3532870</v>
      </c>
      <c r="F2" s="17" t="s">
        <v>17</v>
      </c>
      <c r="G2" s="18">
        <v>98</v>
      </c>
      <c r="H2" s="18">
        <v>61</v>
      </c>
      <c r="I2" s="18">
        <v>62</v>
      </c>
      <c r="J2" s="18">
        <v>79</v>
      </c>
      <c r="M2" t="str">
        <f>C2&amp;" "&amp;D2</f>
        <v xml:space="preserve">EDWIN  </v>
      </c>
    </row>
    <row r="3" spans="1:13" ht="15" thickBot="1" x14ac:dyDescent="0.35">
      <c r="A3" s="13" t="s">
        <v>16</v>
      </c>
      <c r="B3" s="14" t="s">
        <v>29</v>
      </c>
      <c r="C3" s="14" t="s">
        <v>91</v>
      </c>
      <c r="D3" s="19"/>
      <c r="E3" s="16">
        <v>3553876</v>
      </c>
      <c r="F3" s="17" t="s">
        <v>17</v>
      </c>
      <c r="G3" s="18">
        <v>87</v>
      </c>
      <c r="H3" s="18">
        <v>67</v>
      </c>
      <c r="I3" s="18">
        <v>70</v>
      </c>
      <c r="J3" s="18">
        <v>77</v>
      </c>
      <c r="M3" t="str">
        <f t="shared" ref="M3:M31" si="0">C3&amp;" "&amp;D3</f>
        <v xml:space="preserve">GONZALO  </v>
      </c>
    </row>
    <row r="4" spans="1:13" ht="15" thickBot="1" x14ac:dyDescent="0.35">
      <c r="A4" s="13" t="s">
        <v>30</v>
      </c>
      <c r="B4" s="14" t="s">
        <v>31</v>
      </c>
      <c r="C4" s="14" t="s">
        <v>92</v>
      </c>
      <c r="D4" s="19"/>
      <c r="E4" s="16">
        <v>6684088</v>
      </c>
      <c r="F4" s="17" t="s">
        <v>17</v>
      </c>
      <c r="G4" s="18">
        <v>97</v>
      </c>
      <c r="H4" s="18">
        <v>72</v>
      </c>
      <c r="I4" s="18">
        <v>65</v>
      </c>
      <c r="J4" s="18">
        <v>87</v>
      </c>
      <c r="M4" t="str">
        <f t="shared" si="0"/>
        <v xml:space="preserve">EDGAR  </v>
      </c>
    </row>
    <row r="5" spans="1:13" ht="15" thickBot="1" x14ac:dyDescent="0.35">
      <c r="A5" s="13" t="s">
        <v>32</v>
      </c>
      <c r="B5" s="14" t="s">
        <v>33</v>
      </c>
      <c r="C5" s="14" t="s">
        <v>93</v>
      </c>
      <c r="D5" s="19"/>
      <c r="E5" s="16">
        <v>8696343</v>
      </c>
      <c r="F5" s="17" t="s">
        <v>17</v>
      </c>
      <c r="G5" s="18">
        <v>87</v>
      </c>
      <c r="H5" s="18">
        <v>74</v>
      </c>
      <c r="I5" s="18">
        <v>70</v>
      </c>
      <c r="J5" s="18">
        <v>82</v>
      </c>
      <c r="M5" t="str">
        <f t="shared" si="0"/>
        <v xml:space="preserve">IVER  </v>
      </c>
    </row>
    <row r="6" spans="1:13" ht="29.4" thickBot="1" x14ac:dyDescent="0.35">
      <c r="A6" s="13" t="s">
        <v>34</v>
      </c>
      <c r="B6" s="14" t="s">
        <v>35</v>
      </c>
      <c r="C6" s="14" t="s">
        <v>94</v>
      </c>
      <c r="D6" s="14" t="s">
        <v>36</v>
      </c>
      <c r="E6" s="16">
        <v>7189868</v>
      </c>
      <c r="F6" s="17" t="s">
        <v>17</v>
      </c>
      <c r="G6" s="21">
        <v>97</v>
      </c>
      <c r="H6" s="22">
        <v>52</v>
      </c>
      <c r="I6" s="21">
        <v>62</v>
      </c>
      <c r="J6" s="21">
        <v>61</v>
      </c>
      <c r="M6" t="str">
        <f t="shared" si="0"/>
        <v>LUIS FERNANDO FERNANDO</v>
      </c>
    </row>
    <row r="7" spans="1:13" ht="29.4" thickBot="1" x14ac:dyDescent="0.35">
      <c r="A7" s="13" t="s">
        <v>37</v>
      </c>
      <c r="B7" s="14" t="s">
        <v>27</v>
      </c>
      <c r="C7" s="14" t="s">
        <v>95</v>
      </c>
      <c r="D7" s="15" t="s">
        <v>38</v>
      </c>
      <c r="E7" s="16">
        <v>12936839</v>
      </c>
      <c r="F7" s="17" t="s">
        <v>17</v>
      </c>
      <c r="G7" s="18">
        <v>92</v>
      </c>
      <c r="H7" s="20">
        <v>32</v>
      </c>
      <c r="I7" s="18">
        <v>67</v>
      </c>
      <c r="J7" s="18">
        <v>86</v>
      </c>
      <c r="M7" t="str">
        <f t="shared" si="0"/>
        <v>OSCAR ENRIQUE ENRIQUE</v>
      </c>
    </row>
    <row r="8" spans="1:13" ht="15" thickBot="1" x14ac:dyDescent="0.35">
      <c r="A8" s="13" t="s">
        <v>39</v>
      </c>
      <c r="B8" s="14" t="s">
        <v>40</v>
      </c>
      <c r="C8" s="14" t="s">
        <v>96</v>
      </c>
      <c r="D8" s="15" t="s">
        <v>41</v>
      </c>
      <c r="E8" s="16">
        <v>9070418</v>
      </c>
      <c r="F8" s="17" t="s">
        <v>17</v>
      </c>
      <c r="G8" s="18">
        <v>97</v>
      </c>
      <c r="H8" s="18">
        <v>75</v>
      </c>
      <c r="I8" s="18">
        <v>70</v>
      </c>
      <c r="J8" s="18">
        <v>86</v>
      </c>
      <c r="M8" t="str">
        <f t="shared" si="0"/>
        <v>JULIO CESAR CESAR</v>
      </c>
    </row>
    <row r="9" spans="1:13" ht="29.4" thickBot="1" x14ac:dyDescent="0.35">
      <c r="A9" s="13" t="s">
        <v>28</v>
      </c>
      <c r="B9" s="14" t="s">
        <v>18</v>
      </c>
      <c r="C9" s="14" t="s">
        <v>97</v>
      </c>
      <c r="D9" s="15" t="s">
        <v>41</v>
      </c>
      <c r="E9" s="16">
        <v>5741597</v>
      </c>
      <c r="F9" s="17" t="s">
        <v>17</v>
      </c>
      <c r="G9" s="18">
        <v>96</v>
      </c>
      <c r="H9" s="18">
        <v>61</v>
      </c>
      <c r="I9" s="18">
        <v>61</v>
      </c>
      <c r="J9" s="18">
        <v>88</v>
      </c>
      <c r="M9" t="str">
        <f t="shared" si="0"/>
        <v>RONALD CESAR CESAR</v>
      </c>
    </row>
    <row r="10" spans="1:13" ht="15" thickBot="1" x14ac:dyDescent="0.35">
      <c r="A10" s="13" t="s">
        <v>42</v>
      </c>
      <c r="B10" s="14" t="s">
        <v>43</v>
      </c>
      <c r="C10" s="14" t="s">
        <v>98</v>
      </c>
      <c r="D10" s="15" t="s">
        <v>44</v>
      </c>
      <c r="E10" s="16">
        <v>7934507</v>
      </c>
      <c r="F10" s="17" t="s">
        <v>17</v>
      </c>
      <c r="G10" s="18">
        <v>93</v>
      </c>
      <c r="H10" s="18">
        <v>77</v>
      </c>
      <c r="I10" s="18">
        <v>65</v>
      </c>
      <c r="J10" s="18">
        <v>82</v>
      </c>
      <c r="M10" t="str">
        <f t="shared" si="0"/>
        <v>JOEL RONAL RONAL</v>
      </c>
    </row>
    <row r="11" spans="1:13" ht="29.4" thickBot="1" x14ac:dyDescent="0.35">
      <c r="A11" s="13" t="s">
        <v>45</v>
      </c>
      <c r="B11" s="14" t="s">
        <v>22</v>
      </c>
      <c r="C11" s="14" t="s">
        <v>99</v>
      </c>
      <c r="D11" s="15" t="s">
        <v>46</v>
      </c>
      <c r="E11" s="16">
        <v>9332721</v>
      </c>
      <c r="F11" s="17" t="s">
        <v>17</v>
      </c>
      <c r="G11" s="18">
        <v>89</v>
      </c>
      <c r="H11" s="18">
        <v>75</v>
      </c>
      <c r="I11" s="18">
        <v>61</v>
      </c>
      <c r="J11" s="18">
        <v>89</v>
      </c>
      <c r="M11" t="str">
        <f t="shared" si="0"/>
        <v>LILIAN RUZENA RUZENA</v>
      </c>
    </row>
    <row r="12" spans="1:13" ht="29.4" thickBot="1" x14ac:dyDescent="0.35">
      <c r="A12" s="13" t="s">
        <v>47</v>
      </c>
      <c r="B12" s="14" t="s">
        <v>48</v>
      </c>
      <c r="C12" s="14" t="s">
        <v>100</v>
      </c>
      <c r="D12" s="15" t="s">
        <v>49</v>
      </c>
      <c r="E12" s="16">
        <v>7910004</v>
      </c>
      <c r="F12" s="17" t="s">
        <v>17</v>
      </c>
      <c r="G12" s="18">
        <v>94</v>
      </c>
      <c r="H12" s="18">
        <v>61</v>
      </c>
      <c r="I12" s="18">
        <v>65</v>
      </c>
      <c r="J12" s="18">
        <v>87</v>
      </c>
      <c r="M12" t="str">
        <f t="shared" si="0"/>
        <v>KEVIN ALEXANDER ALEXANDER</v>
      </c>
    </row>
    <row r="13" spans="1:13" ht="29.4" thickBot="1" x14ac:dyDescent="0.35">
      <c r="A13" s="13" t="s">
        <v>50</v>
      </c>
      <c r="B13" s="14" t="s">
        <v>51</v>
      </c>
      <c r="C13" s="14" t="s">
        <v>101</v>
      </c>
      <c r="D13" s="15" t="s">
        <v>52</v>
      </c>
      <c r="E13" s="16">
        <v>6708682</v>
      </c>
      <c r="F13" s="17" t="s">
        <v>17</v>
      </c>
      <c r="G13" s="18">
        <v>98</v>
      </c>
      <c r="H13" s="18">
        <v>67</v>
      </c>
      <c r="I13" s="18">
        <v>72</v>
      </c>
      <c r="J13" s="18">
        <v>95</v>
      </c>
      <c r="M13" t="str">
        <f t="shared" si="0"/>
        <v>SANTOS RICHARD RICHARD</v>
      </c>
    </row>
    <row r="14" spans="1:13" ht="28.2" thickBot="1" x14ac:dyDescent="0.35">
      <c r="A14" s="13" t="s">
        <v>53</v>
      </c>
      <c r="B14" s="14" t="s">
        <v>20</v>
      </c>
      <c r="C14" s="14" t="s">
        <v>102</v>
      </c>
      <c r="D14" s="19"/>
      <c r="E14" s="16">
        <v>6662001</v>
      </c>
      <c r="F14" s="17" t="s">
        <v>21</v>
      </c>
      <c r="G14" s="18">
        <v>94</v>
      </c>
      <c r="H14" s="18">
        <v>61</v>
      </c>
      <c r="I14" s="18">
        <v>61</v>
      </c>
      <c r="J14" s="18">
        <v>68</v>
      </c>
      <c r="M14" t="str">
        <f t="shared" si="0"/>
        <v xml:space="preserve">UZIEL  </v>
      </c>
    </row>
    <row r="15" spans="1:13" ht="15" thickBot="1" x14ac:dyDescent="0.35">
      <c r="A15" s="13" t="s">
        <v>54</v>
      </c>
      <c r="B15" s="14" t="s">
        <v>55</v>
      </c>
      <c r="C15" s="14" t="s">
        <v>103</v>
      </c>
      <c r="D15" s="19"/>
      <c r="E15" s="16">
        <v>8342946</v>
      </c>
      <c r="F15" s="17" t="s">
        <v>17</v>
      </c>
      <c r="G15" s="18">
        <v>96</v>
      </c>
      <c r="H15" s="18">
        <v>61</v>
      </c>
      <c r="I15" s="18">
        <v>62</v>
      </c>
      <c r="J15" s="18">
        <v>98</v>
      </c>
      <c r="M15" t="str">
        <f t="shared" si="0"/>
        <v xml:space="preserve">KEVIN  </v>
      </c>
    </row>
    <row r="16" spans="1:13" ht="28.2" thickBot="1" x14ac:dyDescent="0.35">
      <c r="A16" s="13" t="s">
        <v>56</v>
      </c>
      <c r="B16" s="14" t="s">
        <v>57</v>
      </c>
      <c r="C16" s="14" t="s">
        <v>104</v>
      </c>
      <c r="D16" s="19"/>
      <c r="E16" s="16" t="s">
        <v>58</v>
      </c>
      <c r="F16" s="17" t="s">
        <v>21</v>
      </c>
      <c r="G16" s="18">
        <v>87</v>
      </c>
      <c r="H16" s="20">
        <v>40</v>
      </c>
      <c r="I16" s="18">
        <v>61</v>
      </c>
      <c r="J16" s="18">
        <v>61</v>
      </c>
      <c r="M16" t="str">
        <f t="shared" si="0"/>
        <v xml:space="preserve">ABDON  </v>
      </c>
    </row>
    <row r="17" spans="1:13" ht="29.4" thickBot="1" x14ac:dyDescent="0.35">
      <c r="A17" s="13" t="s">
        <v>59</v>
      </c>
      <c r="B17" s="14" t="s">
        <v>16</v>
      </c>
      <c r="C17" s="14" t="s">
        <v>105</v>
      </c>
      <c r="D17" s="15" t="s">
        <v>60</v>
      </c>
      <c r="E17" s="16">
        <v>7044386</v>
      </c>
      <c r="F17" s="17" t="s">
        <v>17</v>
      </c>
      <c r="G17" s="18">
        <v>99</v>
      </c>
      <c r="H17" s="18">
        <v>71</v>
      </c>
      <c r="I17" s="18">
        <v>70</v>
      </c>
      <c r="J17" s="18">
        <v>82</v>
      </c>
      <c r="M17" t="str">
        <f t="shared" si="0"/>
        <v>EDSON DERIK DERIK</v>
      </c>
    </row>
    <row r="18" spans="1:13" ht="29.4" thickBot="1" x14ac:dyDescent="0.35">
      <c r="A18" s="13" t="s">
        <v>59</v>
      </c>
      <c r="B18" s="14" t="s">
        <v>61</v>
      </c>
      <c r="C18" s="14" t="s">
        <v>106</v>
      </c>
      <c r="D18" s="15" t="s">
        <v>62</v>
      </c>
      <c r="E18" s="16">
        <v>4305779</v>
      </c>
      <c r="F18" s="17" t="s">
        <v>17</v>
      </c>
      <c r="G18" s="18">
        <v>99</v>
      </c>
      <c r="H18" s="18">
        <v>72</v>
      </c>
      <c r="I18" s="18">
        <v>65</v>
      </c>
      <c r="J18" s="18">
        <v>93</v>
      </c>
      <c r="M18" t="str">
        <f t="shared" si="0"/>
        <v>HUGO ISRAEL ISRAEL</v>
      </c>
    </row>
    <row r="19" spans="1:13" ht="15" thickBot="1" x14ac:dyDescent="0.35">
      <c r="A19" s="13" t="s">
        <v>63</v>
      </c>
      <c r="B19" s="14" t="s">
        <v>59</v>
      </c>
      <c r="C19" s="14" t="s">
        <v>107</v>
      </c>
      <c r="D19" s="19"/>
      <c r="E19" s="16">
        <v>4757154</v>
      </c>
      <c r="F19" s="17" t="s">
        <v>17</v>
      </c>
      <c r="G19" s="18">
        <v>98</v>
      </c>
      <c r="H19" s="18">
        <v>70</v>
      </c>
      <c r="I19" s="20">
        <v>0</v>
      </c>
      <c r="J19" s="20">
        <v>0</v>
      </c>
      <c r="M19" t="str">
        <f t="shared" si="0"/>
        <v xml:space="preserve">JAIRZINHO  </v>
      </c>
    </row>
    <row r="20" spans="1:13" ht="29.4" thickBot="1" x14ac:dyDescent="0.35">
      <c r="A20" s="13" t="s">
        <v>64</v>
      </c>
      <c r="B20" s="14" t="s">
        <v>65</v>
      </c>
      <c r="C20" s="14" t="s">
        <v>108</v>
      </c>
      <c r="D20" s="15" t="s">
        <v>66</v>
      </c>
      <c r="E20" s="16">
        <v>6533057</v>
      </c>
      <c r="F20" s="17" t="s">
        <v>17</v>
      </c>
      <c r="G20" s="18">
        <v>95</v>
      </c>
      <c r="H20" s="18">
        <v>73</v>
      </c>
      <c r="I20" s="18">
        <v>61</v>
      </c>
      <c r="J20" s="18">
        <v>95</v>
      </c>
      <c r="M20" t="str">
        <f t="shared" si="0"/>
        <v>IVAN BLADIMIR BLADIMIR</v>
      </c>
    </row>
    <row r="21" spans="1:13" ht="15" thickBot="1" x14ac:dyDescent="0.35">
      <c r="A21" s="13" t="s">
        <v>67</v>
      </c>
      <c r="B21" s="14" t="s">
        <v>24</v>
      </c>
      <c r="C21" s="14" t="s">
        <v>109</v>
      </c>
      <c r="D21" s="15" t="s">
        <v>68</v>
      </c>
      <c r="E21" s="16">
        <v>11362017</v>
      </c>
      <c r="F21" s="17" t="s">
        <v>17</v>
      </c>
      <c r="G21" s="18">
        <v>96</v>
      </c>
      <c r="H21" s="18">
        <v>64</v>
      </c>
      <c r="I21" s="18">
        <v>62</v>
      </c>
      <c r="J21" s="18">
        <v>80</v>
      </c>
      <c r="M21" t="str">
        <f t="shared" si="0"/>
        <v>JUAN DARIO DARIO</v>
      </c>
    </row>
    <row r="22" spans="1:13" ht="15" thickBot="1" x14ac:dyDescent="0.35">
      <c r="A22" s="13" t="s">
        <v>69</v>
      </c>
      <c r="B22" s="14" t="s">
        <v>70</v>
      </c>
      <c r="C22" s="14" t="s">
        <v>110</v>
      </c>
      <c r="D22" s="19"/>
      <c r="E22" s="16">
        <v>9422644</v>
      </c>
      <c r="F22" s="17" t="s">
        <v>17</v>
      </c>
      <c r="G22" s="18">
        <v>97</v>
      </c>
      <c r="H22" s="18">
        <v>69</v>
      </c>
      <c r="I22" s="18">
        <v>68</v>
      </c>
      <c r="J22" s="18">
        <v>85</v>
      </c>
      <c r="M22" t="str">
        <f t="shared" si="0"/>
        <v xml:space="preserve">DAVID  </v>
      </c>
    </row>
    <row r="23" spans="1:13" ht="29.4" thickBot="1" x14ac:dyDescent="0.35">
      <c r="A23" s="13" t="s">
        <v>71</v>
      </c>
      <c r="B23" s="14" t="s">
        <v>72</v>
      </c>
      <c r="C23" s="14" t="s">
        <v>111</v>
      </c>
      <c r="D23" s="15" t="s">
        <v>73</v>
      </c>
      <c r="E23" s="16">
        <v>7563109</v>
      </c>
      <c r="F23" s="17" t="s">
        <v>17</v>
      </c>
      <c r="G23" s="18">
        <v>95</v>
      </c>
      <c r="H23" s="18">
        <v>61</v>
      </c>
      <c r="I23" s="18">
        <v>61</v>
      </c>
      <c r="J23" s="18">
        <v>61</v>
      </c>
      <c r="M23" t="str">
        <f t="shared" si="0"/>
        <v>JUAN CARLOS CARLOS</v>
      </c>
    </row>
    <row r="24" spans="1:13" ht="29.4" thickBot="1" x14ac:dyDescent="0.35">
      <c r="A24" s="13" t="s">
        <v>23</v>
      </c>
      <c r="B24" s="14" t="s">
        <v>74</v>
      </c>
      <c r="C24" s="14" t="s">
        <v>112</v>
      </c>
      <c r="D24" s="15" t="s">
        <v>75</v>
      </c>
      <c r="E24" s="16">
        <v>6813976</v>
      </c>
      <c r="F24" s="17" t="s">
        <v>17</v>
      </c>
      <c r="G24" s="18">
        <v>94</v>
      </c>
      <c r="H24" s="18">
        <v>61</v>
      </c>
      <c r="I24" s="18">
        <v>68</v>
      </c>
      <c r="J24" s="18">
        <v>70</v>
      </c>
      <c r="M24" t="str">
        <f t="shared" si="0"/>
        <v>GROBER MARTIN MARTIN</v>
      </c>
    </row>
    <row r="25" spans="1:13" ht="29.4" thickBot="1" x14ac:dyDescent="0.35">
      <c r="A25" s="13" t="s">
        <v>51</v>
      </c>
      <c r="B25" s="14" t="s">
        <v>76</v>
      </c>
      <c r="C25" s="14" t="s">
        <v>113</v>
      </c>
      <c r="D25" s="15" t="s">
        <v>77</v>
      </c>
      <c r="E25" s="16">
        <v>9222053</v>
      </c>
      <c r="F25" s="17" t="s">
        <v>17</v>
      </c>
      <c r="G25" s="18">
        <v>93</v>
      </c>
      <c r="H25" s="18">
        <v>76</v>
      </c>
      <c r="I25" s="18">
        <v>62</v>
      </c>
      <c r="J25" s="18">
        <v>92</v>
      </c>
      <c r="M25" t="str">
        <f t="shared" si="0"/>
        <v>BRYAN ANGEL ANGEL</v>
      </c>
    </row>
    <row r="26" spans="1:13" ht="29.4" thickBot="1" x14ac:dyDescent="0.35">
      <c r="A26" s="13" t="s">
        <v>78</v>
      </c>
      <c r="B26" s="14" t="s">
        <v>79</v>
      </c>
      <c r="C26" s="14" t="s">
        <v>114</v>
      </c>
      <c r="D26" s="15" t="s">
        <v>80</v>
      </c>
      <c r="E26" s="16">
        <v>4880443</v>
      </c>
      <c r="F26" s="17" t="s">
        <v>17</v>
      </c>
      <c r="G26" s="18">
        <v>96</v>
      </c>
      <c r="H26" s="18">
        <v>64</v>
      </c>
      <c r="I26" s="18">
        <v>65</v>
      </c>
      <c r="J26" s="18">
        <v>74</v>
      </c>
      <c r="M26" t="str">
        <f t="shared" si="0"/>
        <v>FABIAM ROLANDO ROLANDO</v>
      </c>
    </row>
    <row r="27" spans="1:13" ht="29.4" thickBot="1" x14ac:dyDescent="0.35">
      <c r="A27" s="13" t="s">
        <v>81</v>
      </c>
      <c r="B27" s="14" t="s">
        <v>82</v>
      </c>
      <c r="C27" s="14" t="s">
        <v>115</v>
      </c>
      <c r="D27" s="15" t="s">
        <v>83</v>
      </c>
      <c r="E27" s="16">
        <v>7378311</v>
      </c>
      <c r="F27" s="17" t="s">
        <v>17</v>
      </c>
      <c r="G27" s="18">
        <v>98</v>
      </c>
      <c r="H27" s="18">
        <v>61</v>
      </c>
      <c r="I27" s="18">
        <v>61</v>
      </c>
      <c r="J27" s="20">
        <v>6</v>
      </c>
      <c r="M27" t="str">
        <f t="shared" si="0"/>
        <v>NOEMI VANESSA VANESSA</v>
      </c>
    </row>
    <row r="28" spans="1:13" ht="29.4" thickBot="1" x14ac:dyDescent="0.35">
      <c r="A28" s="13" t="s">
        <v>84</v>
      </c>
      <c r="B28" s="14" t="s">
        <v>27</v>
      </c>
      <c r="C28" s="14" t="s">
        <v>116</v>
      </c>
      <c r="D28" s="15" t="s">
        <v>85</v>
      </c>
      <c r="E28" s="16">
        <v>5724294</v>
      </c>
      <c r="F28" s="17" t="s">
        <v>17</v>
      </c>
      <c r="G28" s="18">
        <v>93</v>
      </c>
      <c r="H28" s="18">
        <v>67</v>
      </c>
      <c r="I28" s="18">
        <v>66</v>
      </c>
      <c r="J28" s="18">
        <v>90</v>
      </c>
      <c r="M28" t="str">
        <f t="shared" si="0"/>
        <v>FERNANDO NICOLAS NICOLAS</v>
      </c>
    </row>
    <row r="29" spans="1:13" ht="29.4" thickBot="1" x14ac:dyDescent="0.35">
      <c r="A29" s="13" t="s">
        <v>19</v>
      </c>
      <c r="B29" s="14" t="s">
        <v>18</v>
      </c>
      <c r="C29" s="14" t="s">
        <v>117</v>
      </c>
      <c r="D29" s="15" t="s">
        <v>86</v>
      </c>
      <c r="E29" s="16">
        <v>7211962</v>
      </c>
      <c r="F29" s="17" t="s">
        <v>17</v>
      </c>
      <c r="G29" s="18">
        <v>95</v>
      </c>
      <c r="H29" s="18">
        <v>82</v>
      </c>
      <c r="I29" s="18">
        <v>61</v>
      </c>
      <c r="J29" s="18">
        <v>62</v>
      </c>
      <c r="M29" t="str">
        <f t="shared" si="0"/>
        <v>LUZ TAMARA TAMARA</v>
      </c>
    </row>
    <row r="30" spans="1:13" ht="15" thickBot="1" x14ac:dyDescent="0.35">
      <c r="A30" s="13" t="s">
        <v>25</v>
      </c>
      <c r="B30" s="14" t="s">
        <v>87</v>
      </c>
      <c r="C30" s="14" t="s">
        <v>118</v>
      </c>
      <c r="D30" s="19"/>
      <c r="E30" s="16">
        <v>6271909</v>
      </c>
      <c r="M30" t="str">
        <f t="shared" si="0"/>
        <v xml:space="preserve">ARACELY  </v>
      </c>
    </row>
    <row r="31" spans="1:13" ht="29.4" thickBot="1" x14ac:dyDescent="0.35">
      <c r="A31" s="13" t="s">
        <v>88</v>
      </c>
      <c r="B31" s="14" t="s">
        <v>19</v>
      </c>
      <c r="C31" s="14" t="s">
        <v>119</v>
      </c>
      <c r="D31" s="15" t="s">
        <v>89</v>
      </c>
      <c r="E31" s="16">
        <v>8234164</v>
      </c>
      <c r="M31" t="str">
        <f t="shared" si="0"/>
        <v>JAIRO ANDRES ANDRES</v>
      </c>
    </row>
  </sheetData>
  <hyperlinks>
    <hyperlink ref="A1" r:id="rId1" xr:uid="{71E072D2-1A12-4681-8DDB-D392ABE3B536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PEGAR DATOS AQUI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il-Grande-Bachetto</dc:creator>
  <cp:lastModifiedBy>PC Soporte</cp:lastModifiedBy>
  <dcterms:created xsi:type="dcterms:W3CDTF">2015-06-05T18:19:34Z</dcterms:created>
  <dcterms:modified xsi:type="dcterms:W3CDTF">2025-09-30T13:09:44Z</dcterms:modified>
</cp:coreProperties>
</file>